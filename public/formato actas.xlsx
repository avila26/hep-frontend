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HP\Documents\TESIS\DOCUMENTOS HEP\"/>
    </mc:Choice>
  </mc:AlternateContent>
  <xr:revisionPtr revIDLastSave="0" documentId="8_{5ACD4C39-2518-4AD5-AF11-EB76979B665A}" xr6:coauthVersionLast="47" xr6:coauthVersionMax="47" xr10:uidLastSave="{00000000-0000-0000-0000-000000000000}"/>
  <bookViews>
    <workbookView xWindow="-108" yWindow="-108" windowWidth="23256" windowHeight="12456" xr2:uid="{00000000-000D-0000-FFFF-FFFF00000000}"/>
  </bookViews>
  <sheets>
    <sheet name="FORMATO" sheetId="1" r:id="rId1"/>
  </sheets>
  <externalReferences>
    <externalReference r:id="rId2"/>
  </externalReferences>
  <definedNames>
    <definedName name="_xlnm.Print_Area" localSheetId="0">FORMATO!$A$1:$I$65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5" i="1" l="1"/>
  <c r="B65" i="1"/>
  <c r="I34" i="1"/>
  <c r="I11" i="1"/>
  <c r="E11" i="1"/>
  <c r="I10" i="1"/>
  <c r="G56" i="1" s="1"/>
  <c r="E10" i="1"/>
  <c r="G54" i="1" s="1"/>
  <c r="G55" i="1" s="1"/>
  <c r="I9" i="1"/>
  <c r="B56" i="1" s="1"/>
  <c r="E9" i="1"/>
  <c r="B54" i="1" s="1"/>
  <c r="B55" i="1" s="1"/>
  <c r="I8" i="1"/>
  <c r="G46" i="1" s="1"/>
  <c r="E8" i="1"/>
  <c r="G44" i="1" s="1"/>
  <c r="G45" i="1" s="1"/>
  <c r="I7" i="1"/>
  <c r="B46" i="1" s="1"/>
  <c r="E7" i="1"/>
  <c r="B44" i="1" s="1"/>
  <c r="B45" i="1" s="1"/>
  <c r="E6" i="1"/>
  <c r="E5" i="1"/>
</calcChain>
</file>

<file path=xl/sharedStrings.xml><?xml version="1.0" encoding="utf-8"?>
<sst xmlns="http://schemas.openxmlformats.org/spreadsheetml/2006/main" count="45" uniqueCount="35">
  <si>
    <t>HOSPITAL DE ESPECIALIDADES PORTOVIEJO</t>
  </si>
  <si>
    <t>ANEXO No. 2</t>
  </si>
  <si>
    <t>ACTA DE ENTREGA – RECEPCIÓN</t>
  </si>
  <si>
    <t>HEP-ADF-UAF-2026-001</t>
  </si>
  <si>
    <t>BLOQUE ORIGEN</t>
  </si>
  <si>
    <t xml:space="preserve">SERVICIO ORIGEN </t>
  </si>
  <si>
    <t>FECHA</t>
  </si>
  <si>
    <t>BLOQUE DESTINO</t>
  </si>
  <si>
    <t>SERVICIO DESTINO</t>
  </si>
  <si>
    <t>USUARIO ORIGEN</t>
  </si>
  <si>
    <t>APELLIDOS Y NOMBRES</t>
  </si>
  <si>
    <t>CARGO</t>
  </si>
  <si>
    <t>USUARIO DESTINO</t>
  </si>
  <si>
    <t>USUARIO APROBADOR</t>
  </si>
  <si>
    <t xml:space="preserve">MOTIVO DE TRANSACCION </t>
  </si>
  <si>
    <t>CONSTATACION INVENTARIO 2026</t>
  </si>
  <si>
    <t xml:space="preserve">ACTA ORIGEN </t>
  </si>
  <si>
    <t>Quienes reciben los Bienes que se describen en esta acta, y se compromete a dar cumplimiento a lo que disponen en el Art. 20 del Reglamento Administrativo y Control de Bienes del Sector Publico Acuerdo N 41-CG-2017, en el que Establece lo siguiente “usuario final.- será el responsable del cuidado, buen uso, custodia y conservación de los bienes e inventarios a la asignación para el desempeño de sus funciones y lo que por delegación expresa se agreguen a su cuidado, conformé a la disposiciones legales y reglamentarias correspondientes, así como el Art. 11 del Reglamento para la Administración y Control Activos del Ministerio de Salud - Acuerdo Ministerial 161,  De Sanciones: Literal 11.6 El daño, perdida o destrucción del bien, por negligencia comprobada o mal uso, no imputable al deterioro normal de los bienes, será de responsabilidad del servidor que tiene a su cargo la custodia del bien, de acuerdo al acta de entrega recepción y responderá personal y pecuniariamente por la reposición del bien , al precio del mercado o un bien de igual características al desaparecido, destruido o inutilizado. Así mismo, la responsabilidad recae, cuando se realicen acciones de mantenimiento o reparación sin autorización de la unidad competente.
Para constancia de lo actuado y en fe de conformidad y aceptación suscriben la presente acta en tres ejemplares de igual tenor y efecto las personas que intervienen en esta diligencia.</t>
  </si>
  <si>
    <t xml:space="preserve">UBICACIÓN </t>
  </si>
  <si>
    <t>ESTADO</t>
  </si>
  <si>
    <t>CODIGO
SBYE</t>
  </si>
  <si>
    <t>DESCRIPCION</t>
  </si>
  <si>
    <t>SERIE</t>
  </si>
  <si>
    <t>MODELO</t>
  </si>
  <si>
    <t>MARCA</t>
  </si>
  <si>
    <t>COLOR</t>
  </si>
  <si>
    <t>VALOR CONTABLE</t>
  </si>
  <si>
    <t>TOTAL</t>
  </si>
  <si>
    <t>Todo movimieno que se realice de los bienes detallados en esta acta, debe ser puesto en conocimiento al departamento de activos fijos, de no hacerlo el usuario final sera responsable directo del bien indicado en el acta.</t>
  </si>
  <si>
    <t>INTERVIENEN</t>
  </si>
  <si>
    <t>QUIENES ENTREGAN</t>
  </si>
  <si>
    <t>QUIENES RECIBEN</t>
  </si>
  <si>
    <t>COMISION DE INVENTARIO - ACTIVOS FIJOS</t>
  </si>
  <si>
    <t xml:space="preserve">PILLIGUA PARRALES DIEGO STALIN </t>
  </si>
  <si>
    <t>NAVARRETE VARGAS WAGNER OSWALDO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</si>
</sst>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quot;$&quot;* #,##0.00_ ;_ &quot;$&quot;* \-#,##0.00_ ;_ &quot;$&quot;* &quot;-&quot;??_ ;_ @_ "/>
  </numFmts>
  <fonts count="23" x14ac:knownFonts="1">
    <font>
      <sz val="11"/>
      <color theme="1"/>
      <name val="Calibri"/>
      <family val="2"/>
      <scheme val="minor"/>
    </font>
    <font>
      <sz val="11"/>
      <color theme="1"/>
      <name val="Calibri"/>
      <family val="2"/>
      <scheme val="minor"/>
    </font>
    <font>
      <b/>
      <sz val="14"/>
      <color rgb="FF000000"/>
      <name val="Calibri Light"/>
      <family val="1"/>
      <scheme val="major"/>
    </font>
    <font>
      <sz val="12"/>
      <color theme="1"/>
      <name val="Calibri Light"/>
      <family val="1"/>
      <scheme val="major"/>
    </font>
    <font>
      <b/>
      <sz val="12"/>
      <color rgb="FF000000"/>
      <name val="Calibri Light"/>
      <family val="1"/>
      <scheme val="major"/>
    </font>
    <font>
      <sz val="12"/>
      <color rgb="FF000000"/>
      <name val="Calibri Light"/>
      <family val="2"/>
      <scheme val="major"/>
    </font>
    <font>
      <sz val="12"/>
      <color theme="1"/>
      <name val="Calibri"/>
      <family val="2"/>
      <scheme val="minor"/>
    </font>
    <font>
      <sz val="13"/>
      <color theme="1"/>
      <name val="Calibri Light"/>
      <family val="1"/>
      <scheme val="major"/>
    </font>
    <font>
      <b/>
      <sz val="10"/>
      <color rgb="FF000000"/>
      <name val="Calibri Light"/>
      <family val="1"/>
      <scheme val="major"/>
    </font>
    <font>
      <b/>
      <sz val="10"/>
      <color theme="1"/>
      <name val="Calibri Light"/>
      <family val="1"/>
      <scheme val="major"/>
    </font>
    <font>
      <sz val="10"/>
      <color rgb="FF000000"/>
      <name val="Calibri Light"/>
      <family val="2"/>
      <scheme val="major"/>
    </font>
    <font>
      <sz val="10"/>
      <color theme="1"/>
      <name val="Calibri Light"/>
      <family val="2"/>
      <scheme val="major"/>
    </font>
    <font>
      <sz val="12"/>
      <name val="Calibri Light"/>
      <family val="1"/>
      <scheme val="major"/>
    </font>
    <font>
      <b/>
      <sz val="12"/>
      <name val="Calibri Light"/>
      <family val="1"/>
      <scheme val="major"/>
    </font>
    <font>
      <b/>
      <sz val="10"/>
      <name val="Calibri Light"/>
      <family val="1"/>
      <scheme val="major"/>
    </font>
    <font>
      <sz val="10"/>
      <color theme="1"/>
      <name val="Calibri Light"/>
      <family val="1"/>
      <scheme val="major"/>
    </font>
    <font>
      <sz val="10"/>
      <name val="Calibri Light"/>
      <family val="1"/>
      <scheme val="major"/>
    </font>
    <font>
      <b/>
      <sz val="10"/>
      <name val="Calibri Light"/>
      <family val="2"/>
      <scheme val="major"/>
    </font>
    <font>
      <b/>
      <sz val="12"/>
      <color theme="1"/>
      <name val="Calibri Light"/>
      <family val="2"/>
      <scheme val="major"/>
    </font>
    <font>
      <sz val="10"/>
      <name val="Calibri Light"/>
      <family val="2"/>
      <scheme val="major"/>
    </font>
    <font>
      <sz val="12"/>
      <color theme="1"/>
      <name val="Calibri Light"/>
      <family val="2"/>
      <scheme val="major"/>
    </font>
    <font>
      <b/>
      <sz val="10"/>
      <color theme="1"/>
      <name val="Calibri Light"/>
      <family val="2"/>
      <scheme val="major"/>
    </font>
    <font>
      <b/>
      <sz val="12"/>
      <color theme="1"/>
      <name val="Calibri Light"/>
      <family val="1"/>
      <scheme val="major"/>
    </font>
  </fonts>
  <fills count="2">
    <fill>
      <patternFill patternType="none"/>
    </fill>
    <fill>
      <patternFill patternType="gray125"/>
    </fill>
  </fills>
  <borders count="11">
    <border>
      <left/>
      <right/>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s>
  <cellStyleXfs count="2">
    <xf numFmtId="0" fontId="0" fillId="0" borderId="0"/>
    <xf numFmtId="164" fontId="1" fillId="0" borderId="0" applyFont="0" applyFill="0" applyBorder="0" applyAlignment="0" applyProtection="0"/>
  </cellStyleXfs>
  <cellXfs count="71">
    <xf numFmtId="0" fontId="0" fillId="0" borderId="0" xfId="0"/>
    <xf numFmtId="0" fontId="3" fillId="0" borderId="0" xfId="0" applyFont="1"/>
    <xf numFmtId="0" fontId="4" fillId="0" borderId="4" xfId="0" applyFont="1" applyBorder="1" applyAlignment="1">
      <alignment horizontal="left" vertical="top" wrapText="1"/>
    </xf>
    <xf numFmtId="0" fontId="4" fillId="0" borderId="5" xfId="0" applyFont="1" applyBorder="1" applyAlignment="1">
      <alignment horizontal="left" vertical="center" wrapText="1"/>
    </xf>
    <xf numFmtId="0" fontId="4" fillId="0" borderId="2" xfId="0" applyFont="1" applyBorder="1" applyAlignment="1">
      <alignment horizontal="left" vertical="center" wrapText="1"/>
    </xf>
    <xf numFmtId="0" fontId="5" fillId="0" borderId="4" xfId="0" applyFont="1" applyBorder="1" applyAlignment="1">
      <alignment horizontal="left" vertical="top" wrapText="1"/>
    </xf>
    <xf numFmtId="0" fontId="4" fillId="0" borderId="2" xfId="0" applyFont="1" applyBorder="1" applyAlignment="1">
      <alignment horizontal="left" vertical="top" wrapText="1"/>
    </xf>
    <xf numFmtId="0" fontId="8" fillId="0" borderId="4" xfId="0" applyFont="1" applyBorder="1" applyAlignment="1">
      <alignment horizontal="center" vertical="center" wrapText="1"/>
    </xf>
    <xf numFmtId="0" fontId="8" fillId="0" borderId="5" xfId="0" applyFont="1" applyBorder="1" applyAlignment="1">
      <alignment horizontal="center" vertical="center" wrapText="1"/>
    </xf>
    <xf numFmtId="0" fontId="9" fillId="0" borderId="4" xfId="0" applyFont="1" applyBorder="1" applyAlignment="1">
      <alignment horizontal="center" vertical="center"/>
    </xf>
    <xf numFmtId="0" fontId="3" fillId="0" borderId="0" xfId="0" applyFont="1" applyAlignment="1">
      <alignment vertical="center"/>
    </xf>
    <xf numFmtId="0" fontId="10" fillId="0" borderId="4" xfId="0" applyFont="1" applyBorder="1" applyAlignment="1">
      <alignment horizontal="center" vertical="center" wrapText="1"/>
    </xf>
    <xf numFmtId="0" fontId="10" fillId="0" borderId="5" xfId="0" applyFont="1" applyBorder="1" applyAlignment="1">
      <alignment horizontal="center" vertical="center" wrapText="1"/>
    </xf>
    <xf numFmtId="164" fontId="11" fillId="0" borderId="4" xfId="1" applyFont="1" applyBorder="1" applyAlignment="1">
      <alignment horizontal="right" vertical="center" wrapText="1"/>
    </xf>
    <xf numFmtId="164" fontId="9" fillId="0" borderId="4" xfId="1" applyFont="1" applyBorder="1" applyAlignment="1">
      <alignment horizontal="right" vertical="center" wrapText="1"/>
    </xf>
    <xf numFmtId="0" fontId="3" fillId="0" borderId="0" xfId="0" applyFont="1" applyAlignment="1">
      <alignment horizontal="left" vertical="top" wrapText="1"/>
    </xf>
    <xf numFmtId="0" fontId="12" fillId="0" borderId="0" xfId="0" applyFont="1" applyAlignment="1">
      <alignment vertical="top" wrapText="1"/>
    </xf>
    <xf numFmtId="0" fontId="14" fillId="0" borderId="0" xfId="0" applyFont="1" applyAlignment="1">
      <alignment horizontal="left" vertical="top"/>
    </xf>
    <xf numFmtId="0" fontId="15" fillId="0" borderId="0" xfId="0" applyFont="1" applyAlignment="1">
      <alignment horizontal="left" vertical="top" wrapText="1"/>
    </xf>
    <xf numFmtId="0" fontId="14" fillId="0" borderId="0" xfId="0" applyFont="1" applyAlignment="1">
      <alignment horizontal="center" vertical="top"/>
    </xf>
    <xf numFmtId="0" fontId="15" fillId="0" borderId="0" xfId="0" applyFont="1" applyAlignment="1">
      <alignment vertical="top" wrapText="1"/>
    </xf>
    <xf numFmtId="0" fontId="9" fillId="0" borderId="0" xfId="0" applyFont="1" applyAlignment="1">
      <alignment vertical="center"/>
    </xf>
    <xf numFmtId="0" fontId="16" fillId="0" borderId="0" xfId="0" applyFont="1" applyAlignment="1">
      <alignment vertical="top" wrapText="1"/>
    </xf>
    <xf numFmtId="0" fontId="14" fillId="0" borderId="0" xfId="0" applyFont="1" applyAlignment="1">
      <alignment vertical="top"/>
    </xf>
    <xf numFmtId="0" fontId="9" fillId="0" borderId="0" xfId="0" applyFont="1" applyAlignment="1">
      <alignment horizontal="center" vertical="center"/>
    </xf>
    <xf numFmtId="0" fontId="17" fillId="0" borderId="0" xfId="0" applyFont="1" applyAlignment="1">
      <alignment horizontal="center" vertical="top"/>
    </xf>
    <xf numFmtId="0" fontId="18" fillId="0" borderId="0" xfId="0" applyFont="1" applyAlignment="1">
      <alignment vertical="center"/>
    </xf>
    <xf numFmtId="0" fontId="19" fillId="0" borderId="0" xfId="0" applyFont="1" applyAlignment="1">
      <alignment horizontal="center" vertical="top"/>
    </xf>
    <xf numFmtId="0" fontId="20" fillId="0" borderId="0" xfId="0" applyFont="1" applyAlignment="1">
      <alignment vertical="center"/>
    </xf>
    <xf numFmtId="0" fontId="9" fillId="0" borderId="0" xfId="0" applyFont="1" applyAlignment="1">
      <alignment horizontal="right" vertical="center"/>
    </xf>
    <xf numFmtId="0" fontId="14" fillId="0" borderId="0" xfId="0" applyFont="1" applyAlignment="1">
      <alignment vertical="top" wrapText="1"/>
    </xf>
    <xf numFmtId="0" fontId="9" fillId="0" borderId="0" xfId="0" applyFont="1" applyAlignment="1">
      <alignment horizontal="left" vertical="top"/>
    </xf>
    <xf numFmtId="0" fontId="15" fillId="0" borderId="0" xfId="0" applyFont="1" applyAlignment="1">
      <alignment horizontal="left" vertical="top"/>
    </xf>
    <xf numFmtId="0" fontId="22" fillId="0" borderId="0" xfId="0" applyFont="1"/>
    <xf numFmtId="0" fontId="0" fillId="0" borderId="0" xfId="0" applyAlignment="1">
      <alignment horizontal="center" vertical="top"/>
    </xf>
    <xf numFmtId="0" fontId="14" fillId="0" borderId="0" xfId="0" applyFont="1" applyAlignment="1">
      <alignment horizontal="center" vertical="top"/>
    </xf>
    <xf numFmtId="0" fontId="3" fillId="0" borderId="0" xfId="0" applyFont="1" applyAlignment="1">
      <alignment horizontal="right" vertical="top" wrapText="1"/>
    </xf>
    <xf numFmtId="0" fontId="0" fillId="0" borderId="0" xfId="0" applyAlignment="1">
      <alignment horizontal="center" vertical="top" wrapText="1"/>
    </xf>
    <xf numFmtId="0" fontId="14" fillId="0" borderId="0" xfId="0" applyFont="1" applyAlignment="1">
      <alignment horizontal="center" vertical="top" wrapText="1"/>
    </xf>
    <xf numFmtId="0" fontId="19" fillId="0" borderId="0" xfId="0" applyFont="1" applyAlignment="1">
      <alignment horizontal="center" vertical="top"/>
    </xf>
    <xf numFmtId="0" fontId="21" fillId="0" borderId="0" xfId="0" applyFont="1" applyAlignment="1">
      <alignment horizontal="center" vertical="top" wrapText="1"/>
    </xf>
    <xf numFmtId="0" fontId="17" fillId="0" borderId="0" xfId="0" applyFont="1" applyAlignment="1">
      <alignment horizontal="center" vertical="top" wrapText="1"/>
    </xf>
    <xf numFmtId="0" fontId="2" fillId="0" borderId="5" xfId="0" applyFont="1" applyBorder="1" applyAlignment="1">
      <alignment horizontal="right" vertical="center" wrapText="1"/>
    </xf>
    <xf numFmtId="0" fontId="2" fillId="0" borderId="7" xfId="0" applyFont="1" applyBorder="1" applyAlignment="1">
      <alignment horizontal="right" vertical="center" wrapText="1"/>
    </xf>
    <xf numFmtId="0" fontId="2" fillId="0" borderId="6" xfId="0" applyFont="1" applyBorder="1" applyAlignment="1">
      <alignment horizontal="right" vertical="center" wrapText="1"/>
    </xf>
    <xf numFmtId="0" fontId="12" fillId="0" borderId="10" xfId="0" applyFont="1" applyBorder="1" applyAlignment="1">
      <alignment horizontal="left" vertical="top" wrapText="1"/>
    </xf>
    <xf numFmtId="0" fontId="13" fillId="0" borderId="0" xfId="0" applyFont="1" applyAlignment="1">
      <alignment horizontal="left" vertical="top"/>
    </xf>
    <xf numFmtId="0" fontId="5" fillId="0" borderId="5" xfId="0" applyFont="1" applyBorder="1" applyAlignment="1">
      <alignment horizontal="center" vertical="center" wrapText="1"/>
    </xf>
    <xf numFmtId="0" fontId="5" fillId="0" borderId="6" xfId="0" applyFont="1" applyBorder="1" applyAlignment="1">
      <alignment horizontal="center" vertical="center" wrapText="1"/>
    </xf>
    <xf numFmtId="0" fontId="3" fillId="0" borderId="5" xfId="0" applyFont="1" applyBorder="1" applyAlignment="1">
      <alignment horizontal="center" vertical="center" wrapText="1"/>
    </xf>
    <xf numFmtId="0" fontId="3" fillId="0" borderId="7" xfId="0" applyFont="1" applyBorder="1" applyAlignment="1">
      <alignment horizontal="center" vertical="center" wrapText="1"/>
    </xf>
    <xf numFmtId="0" fontId="3" fillId="0" borderId="6" xfId="0" applyFont="1" applyBorder="1" applyAlignment="1">
      <alignment horizontal="center" vertical="center" wrapText="1"/>
    </xf>
    <xf numFmtId="0" fontId="5" fillId="0" borderId="5" xfId="0" applyFont="1" applyBorder="1" applyAlignment="1">
      <alignment horizontal="left" vertical="center" wrapText="1"/>
    </xf>
    <xf numFmtId="0" fontId="5" fillId="0" borderId="7" xfId="0" applyFont="1" applyBorder="1" applyAlignment="1">
      <alignment horizontal="left" vertical="center" wrapText="1"/>
    </xf>
    <xf numFmtId="0" fontId="5" fillId="0" borderId="6" xfId="0" applyFont="1" applyBorder="1" applyAlignment="1">
      <alignment horizontal="left" vertical="center" wrapText="1"/>
    </xf>
    <xf numFmtId="0" fontId="7" fillId="0" borderId="4" xfId="0" applyFont="1" applyBorder="1" applyAlignment="1">
      <alignment horizontal="left" vertical="top" wrapText="1"/>
    </xf>
    <xf numFmtId="0" fontId="2" fillId="0" borderId="1" xfId="0" applyFont="1" applyBorder="1" applyAlignment="1">
      <alignment horizontal="center" vertical="top" wrapText="1"/>
    </xf>
    <xf numFmtId="0" fontId="2" fillId="0" borderId="0" xfId="0" applyFont="1" applyAlignment="1">
      <alignment horizontal="center" vertical="top" wrapText="1"/>
    </xf>
    <xf numFmtId="0" fontId="4" fillId="0" borderId="1" xfId="0" applyFont="1" applyBorder="1" applyAlignment="1">
      <alignment horizontal="center" vertical="top" wrapText="1"/>
    </xf>
    <xf numFmtId="0" fontId="4" fillId="0" borderId="0" xfId="0" applyFont="1" applyAlignment="1">
      <alignment horizontal="center" vertical="top" wrapText="1"/>
    </xf>
    <xf numFmtId="0" fontId="2" fillId="0" borderId="1" xfId="0" applyFont="1" applyBorder="1" applyAlignment="1">
      <alignment horizontal="center" vertical="center" wrapText="1"/>
    </xf>
    <xf numFmtId="0" fontId="2" fillId="0" borderId="0" xfId="0" applyFont="1" applyAlignment="1">
      <alignment horizontal="center" vertical="center" wrapText="1"/>
    </xf>
    <xf numFmtId="0" fontId="2" fillId="0" borderId="2" xfId="0" applyFont="1" applyBorder="1" applyAlignment="1">
      <alignment horizontal="center" vertical="top" wrapText="1"/>
    </xf>
    <xf numFmtId="0" fontId="2" fillId="0" borderId="3" xfId="0" applyFont="1" applyBorder="1" applyAlignment="1">
      <alignment horizontal="center" vertical="top" wrapText="1"/>
    </xf>
    <xf numFmtId="0" fontId="6" fillId="0" borderId="5" xfId="0" applyFont="1" applyBorder="1" applyAlignment="1">
      <alignment horizontal="center" vertical="center" wrapText="1"/>
    </xf>
    <xf numFmtId="0" fontId="6" fillId="0" borderId="7" xfId="0" applyFont="1" applyBorder="1" applyAlignment="1">
      <alignment horizontal="center" vertical="center" wrapText="1"/>
    </xf>
    <xf numFmtId="0" fontId="6" fillId="0" borderId="6" xfId="0" applyFont="1" applyBorder="1" applyAlignment="1">
      <alignment horizontal="center" vertical="center" wrapText="1"/>
    </xf>
    <xf numFmtId="0" fontId="4" fillId="0" borderId="8" xfId="0" applyFont="1" applyBorder="1" applyAlignment="1">
      <alignment horizontal="left" vertical="center" wrapText="1"/>
    </xf>
    <xf numFmtId="0" fontId="4" fillId="0" borderId="9" xfId="0" applyFont="1" applyBorder="1" applyAlignment="1">
      <alignment horizontal="left" vertical="center" wrapText="1"/>
    </xf>
    <xf numFmtId="14" fontId="5" fillId="0" borderId="8" xfId="0" applyNumberFormat="1" applyFont="1" applyBorder="1" applyAlignment="1">
      <alignment horizontal="center" vertical="center" wrapText="1"/>
    </xf>
    <xf numFmtId="0" fontId="5" fillId="0" borderId="9" xfId="0" applyFont="1" applyBorder="1" applyAlignment="1">
      <alignment horizontal="center" vertical="center" wrapText="1"/>
    </xf>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152958</xdr:colOff>
      <xdr:row>0</xdr:row>
      <xdr:rowOff>57149</xdr:rowOff>
    </xdr:from>
    <xdr:to>
      <xdr:col>0</xdr:col>
      <xdr:colOff>600075</xdr:colOff>
      <xdr:row>3</xdr:row>
      <xdr:rowOff>239154</xdr:rowOff>
    </xdr:to>
    <xdr:pic>
      <xdr:nvPicPr>
        <xdr:cNvPr id="2" name="Imagen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2958" y="57149"/>
          <a:ext cx="447117" cy="867805"/>
        </a:xfrm>
        <a:prstGeom prst="rect">
          <a:avLst/>
        </a:prstGeom>
      </xdr:spPr>
    </xdr:pic>
    <xdr:clientData/>
  </xdr:twoCellAnchor>
  <xdr:twoCellAnchor editAs="oneCell">
    <xdr:from>
      <xdr:col>7</xdr:col>
      <xdr:colOff>1152525</xdr:colOff>
      <xdr:row>0</xdr:row>
      <xdr:rowOff>114300</xdr:rowOff>
    </xdr:from>
    <xdr:to>
      <xdr:col>8</xdr:col>
      <xdr:colOff>1220633</xdr:colOff>
      <xdr:row>3</xdr:row>
      <xdr:rowOff>212409</xdr:rowOff>
    </xdr:to>
    <xdr:pic>
      <xdr:nvPicPr>
        <xdr:cNvPr id="3" name="Imagen 2" descr="Ecuador lidera elaboración de agenda de salud para Las Américas y será sede  de encuentro continental – Ministerio de Salud Pública">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85245" y="114300"/>
          <a:ext cx="1218728" cy="7839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L:\ACTIVOS%20FIJOS%20Y%20BODEGA%202026\ACTAS\BIENES\ACTAS%202026%20ACTIVOS%20FIJOS%20DEFINITIVAS%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ACTAS"/>
      <sheetName val="MATRIZ DE USUARIOS"/>
      <sheetName val="LISTAS"/>
      <sheetName val="FORMATO"/>
      <sheetName val="001"/>
      <sheetName val="002"/>
      <sheetName val="003"/>
      <sheetName val="004"/>
      <sheetName val="005"/>
      <sheetName val="006"/>
      <sheetName val="007"/>
      <sheetName val="008"/>
      <sheetName val="009"/>
      <sheetName val="010"/>
      <sheetName val="011"/>
      <sheetName val="012"/>
      <sheetName val="013"/>
      <sheetName val="013 (2)"/>
      <sheetName val="014"/>
      <sheetName val="015"/>
      <sheetName val="016"/>
      <sheetName val="017"/>
      <sheetName val="018"/>
      <sheetName val="019"/>
      <sheetName val="020"/>
      <sheetName val="021"/>
      <sheetName val="022"/>
      <sheetName val="023"/>
      <sheetName val="024"/>
      <sheetName val="025"/>
      <sheetName val="026"/>
      <sheetName val="027"/>
      <sheetName val="028"/>
      <sheetName val="029"/>
      <sheetName val="030"/>
      <sheetName val="031"/>
      <sheetName val="032"/>
      <sheetName val="033"/>
      <sheetName val="034"/>
      <sheetName val="035"/>
      <sheetName val="036"/>
      <sheetName val="037"/>
      <sheetName val="038"/>
      <sheetName val="039"/>
      <sheetName val="040"/>
      <sheetName val="041"/>
      <sheetName val="042"/>
      <sheetName val="043"/>
      <sheetName val="044"/>
      <sheetName val="045"/>
      <sheetName val="046"/>
      <sheetName val="047"/>
      <sheetName val="048"/>
      <sheetName val="049"/>
      <sheetName val="050"/>
      <sheetName val="051"/>
      <sheetName val="052"/>
      <sheetName val="053"/>
      <sheetName val="054"/>
      <sheetName val="055"/>
      <sheetName val="056"/>
      <sheetName val="057"/>
      <sheetName val="058"/>
      <sheetName val="059"/>
      <sheetName val="060"/>
      <sheetName val="061"/>
      <sheetName val="062"/>
      <sheetName val="063"/>
      <sheetName val="064"/>
      <sheetName val="065"/>
      <sheetName val="066"/>
      <sheetName val="067"/>
      <sheetName val="068"/>
      <sheetName val="069"/>
      <sheetName val="070"/>
      <sheetName val="071"/>
      <sheetName val="072"/>
      <sheetName val="073"/>
      <sheetName val="074"/>
      <sheetName val="075 "/>
      <sheetName val="076"/>
      <sheetName val="077"/>
      <sheetName val="078"/>
      <sheetName val="079"/>
      <sheetName val="080"/>
      <sheetName val="081"/>
      <sheetName val="082"/>
      <sheetName val="084"/>
      <sheetName val="085"/>
      <sheetName val="083"/>
      <sheetName val="086"/>
      <sheetName val="104"/>
      <sheetName val="105"/>
      <sheetName val="106"/>
      <sheetName val="107"/>
      <sheetName val="108"/>
      <sheetName val="087"/>
      <sheetName val="088"/>
      <sheetName val="089"/>
      <sheetName val="090"/>
      <sheetName val="091"/>
      <sheetName val="092"/>
      <sheetName val="093"/>
      <sheetName val="094"/>
      <sheetName val="095"/>
      <sheetName val="096"/>
      <sheetName val="097"/>
      <sheetName val="098"/>
      <sheetName val="099"/>
      <sheetName val="100"/>
      <sheetName val="102"/>
      <sheetName val="103"/>
      <sheetName val="ACTAS 2026 ACTIVOS FIJOS DEFINI"/>
    </sheetNames>
    <sheetDataSet>
      <sheetData sheetId="0"/>
      <sheetData sheetId="1">
        <row r="1">
          <cell r="B1" t="str">
            <v>APELLIDOS Y NOMBRES</v>
          </cell>
          <cell r="C1" t="str">
            <v>DENOMINACION</v>
          </cell>
          <cell r="D1" t="str">
            <v>CARGO</v>
          </cell>
        </row>
        <row r="2">
          <cell r="B2" t="str">
            <v>ABOUKHEIR ACOSTA LAYLA ELAINE DE JESUS</v>
          </cell>
          <cell r="C2" t="str">
            <v>MEDICO/A SUBESPECIALISTA EN NEONATOLOGIA</v>
          </cell>
        </row>
        <row r="3">
          <cell r="B3" t="str">
            <v>ACEBO GOMEZ JOHANA MARIELA</v>
          </cell>
          <cell r="C3" t="str">
            <v>ENFERMERO/A 3</v>
          </cell>
        </row>
        <row r="4">
          <cell r="B4" t="str">
            <v>ACOSTA HERRERA DAVID ANDRES</v>
          </cell>
          <cell r="C4" t="str">
            <v>PSICOLOGO/A CLINICO/A  1</v>
          </cell>
        </row>
        <row r="5">
          <cell r="B5" t="str">
            <v>ACOSTA TERAN OSCAR DE JESUS</v>
          </cell>
          <cell r="C5" t="str">
            <v>ENFERMERO/A 3</v>
          </cell>
        </row>
        <row r="6">
          <cell r="B6" t="str">
            <v>ACUÑA GARCIA DAYANARA ELIZABETH</v>
          </cell>
          <cell r="C6" t="str">
            <v>TECNOLOGO MEDICO DE LABORATORIO 3</v>
          </cell>
        </row>
        <row r="7">
          <cell r="B7" t="str">
            <v>ACUÑA GARCIA MARIA MERCED</v>
          </cell>
          <cell r="C7" t="str">
            <v>TECNOLOGO MEDICO DE IMAGENOLOGIA 3</v>
          </cell>
        </row>
        <row r="8">
          <cell r="B8" t="str">
            <v>ACUÑA ZAMBRANO AURA MARIA</v>
          </cell>
          <cell r="C8" t="str">
            <v>AUXILIAR DE ENFERMERIA</v>
          </cell>
        </row>
        <row r="9">
          <cell r="B9" t="str">
            <v>AGUAYO ZAMBRANO DENISSE LISSETTE</v>
          </cell>
          <cell r="C9" t="str">
            <v>ASISTENTE DE ADMISIONES</v>
          </cell>
        </row>
        <row r="10">
          <cell r="B10" t="str">
            <v>AGUILAR COVEÑA FIDEL ALEJANDRO</v>
          </cell>
          <cell r="C10" t="str">
            <v>MEDICO/A SUBESPECIALISTA EN CUIDADOS INTENSIVOS PEDIATRICOS</v>
          </cell>
        </row>
        <row r="11">
          <cell r="B11" t="str">
            <v>AGUILAR HERNANDEZ JESSICA KRUPSKAYA</v>
          </cell>
          <cell r="C11" t="str">
            <v>QUIMICO / BIOQUIMICO FARMACEUTICO 1</v>
          </cell>
        </row>
        <row r="12">
          <cell r="B12" t="str">
            <v>AGUILAR HOLGUIN RENE WILBERTO</v>
          </cell>
          <cell r="C12" t="str">
            <v>ANALISTA DE TECNOLOGIAS DE LA INFORMACION Y COMUNICACIONES 2</v>
          </cell>
        </row>
        <row r="13">
          <cell r="B13" t="str">
            <v>AGUILAR ROGEL LUIS ALBERTO</v>
          </cell>
          <cell r="C13" t="str">
            <v>QUIMICO / BIOQUIMICO FARMACEUTICO 1</v>
          </cell>
        </row>
        <row r="14">
          <cell r="B14" t="str">
            <v>AGUIRRE ERAS PAULINA LISSETH</v>
          </cell>
          <cell r="C14" t="str">
            <v>QUIMICO / BIOQUIMICO FARMACEUTICO 1</v>
          </cell>
        </row>
        <row r="15">
          <cell r="B15" t="str">
            <v>AJILA BARREIRO DAMIAN ANTONIO</v>
          </cell>
          <cell r="C15" t="str">
            <v>MEDICO/A ESPECIALISTA EN REUMATOLOGIA 1</v>
          </cell>
        </row>
        <row r="16">
          <cell r="B16" t="str">
            <v>ALARCON RIVERA CINTHIA KARINA</v>
          </cell>
          <cell r="C16" t="str">
            <v>MEDICO/A GENERAL EN FUNCIONES HOSPITALARIAS</v>
          </cell>
        </row>
        <row r="17">
          <cell r="B17" t="str">
            <v>ALARCON ROMERO ANTONIO ALBERTO</v>
          </cell>
          <cell r="C17" t="str">
            <v>ANALISTA ADMINISTRATIVO 3</v>
          </cell>
        </row>
        <row r="18">
          <cell r="B18" t="str">
            <v>ALARCON ZAMBRANO OSCAR ALBERTO</v>
          </cell>
          <cell r="C18" t="str">
            <v>MEDICO/A GENERAL EN FUNCIONES HOSPITALARIAS</v>
          </cell>
        </row>
        <row r="19">
          <cell r="B19" t="str">
            <v>ALAVA CARDENAS IVAN ALEXANDER</v>
          </cell>
          <cell r="C19" t="str">
            <v>MEDICO/A GENERAL EN FUNCIONES HOSPITALARIAS</v>
          </cell>
        </row>
        <row r="20">
          <cell r="B20" t="str">
            <v>ALAVA CEDEÑO MARIA STEFANY</v>
          </cell>
          <cell r="C20" t="str">
            <v>ENFERMERO/A 3</v>
          </cell>
        </row>
        <row r="21">
          <cell r="B21" t="str">
            <v>ALAVA CEDEÑO THALIA LILIBETH</v>
          </cell>
          <cell r="C21" t="str">
            <v>ENFERMERO/A 3</v>
          </cell>
        </row>
        <row r="22">
          <cell r="B22" t="str">
            <v>ALAVA LOOR ELIANA GUADALUPE</v>
          </cell>
          <cell r="C22" t="str">
            <v>TECNOLOGO MEDICO DE LABORATORIO 3</v>
          </cell>
        </row>
        <row r="23">
          <cell r="B23" t="str">
            <v>ALAVA MOREIRA VANESSA ALEXANDRA</v>
          </cell>
          <cell r="C23" t="str">
            <v>TRABAJADOR/A SOCIAL 1</v>
          </cell>
        </row>
        <row r="24">
          <cell r="B24" t="str">
            <v>ALAVA SUAREZ JUANA ALEXANDRA</v>
          </cell>
          <cell r="C24" t="str">
            <v>AUXILIAR DE ENFERMERIA</v>
          </cell>
        </row>
        <row r="25">
          <cell r="B25" t="str">
            <v>ALAVA ZAMBRANO EDUARDO ABEL</v>
          </cell>
          <cell r="C25" t="str">
            <v>AUXILIAR ADMINISTRATIVO DE SALUD DEL SECTOR SALUD</v>
          </cell>
        </row>
        <row r="26">
          <cell r="B26" t="str">
            <v>ALAY GUADAMUD KATHERINE ESTEFANIA</v>
          </cell>
          <cell r="C26" t="str">
            <v>ENFERMERO/A 3</v>
          </cell>
        </row>
        <row r="27">
          <cell r="B27" t="str">
            <v>ALAY LICOA TATIANA KATHERINE</v>
          </cell>
          <cell r="C27" t="str">
            <v>ENFERMERO/A 3</v>
          </cell>
        </row>
        <row r="28">
          <cell r="B28" t="str">
            <v>ALBAN MONTESINOS KATHERINE PAMELA</v>
          </cell>
          <cell r="C28" t="str">
            <v>MEDICO/A ESPECIALISTA EN NEFROLOGIA 1</v>
          </cell>
        </row>
        <row r="29">
          <cell r="B29" t="str">
            <v>ALBUJA ARIAS JOYCE DENISSE</v>
          </cell>
          <cell r="C29" t="str">
            <v>TECNOLOGO MEDICO DE IMAGENOLOGIA 3</v>
          </cell>
        </row>
        <row r="30">
          <cell r="B30" t="str">
            <v>ALCAZAR MORAN BYRON MANUEL</v>
          </cell>
          <cell r="C30" t="str">
            <v>MEDICO/A GENERAL EN FUNCIONES HOSPITALARIAS</v>
          </cell>
        </row>
        <row r="31">
          <cell r="B31" t="str">
            <v>ALCIVAR CATAGUA MARIA GEMA</v>
          </cell>
          <cell r="C31" t="str">
            <v>MEDICO/A ESPECIALISTA EN ENDOCRINOLOGIA 1</v>
          </cell>
        </row>
        <row r="32">
          <cell r="B32" t="str">
            <v>ALCIVAR CEDEÑO LUIS FERNANDO</v>
          </cell>
          <cell r="C32" t="str">
            <v>MEDICO/A ESPECIALISTA EN IMAGENOLOGIA/RADIOLOGIA 1</v>
          </cell>
        </row>
        <row r="33">
          <cell r="B33" t="str">
            <v>ALCIVAR FLECHER ALEXANDER LEONARDO</v>
          </cell>
          <cell r="C33" t="str">
            <v>TECNOLOGO MEDICO DE IMAGENOLOGIA 2</v>
          </cell>
        </row>
        <row r="34">
          <cell r="B34" t="str">
            <v>ALCIVAR GARCIA MARIA ALEJANDRA</v>
          </cell>
          <cell r="C34" t="str">
            <v>NUTRICIONISTA 1</v>
          </cell>
        </row>
        <row r="35">
          <cell r="B35" t="str">
            <v>ALCIVAR LEON ANA SOFIA</v>
          </cell>
          <cell r="C35" t="str">
            <v>ASISTENTE DE ADMISIONES</v>
          </cell>
        </row>
        <row r="36">
          <cell r="B36" t="str">
            <v>ALCIVAR MERA YANDRI FABRICIO</v>
          </cell>
          <cell r="C36" t="str">
            <v>QUIMICO / BIOQUIMICO FARMACEUTICO 1</v>
          </cell>
        </row>
        <row r="37">
          <cell r="B37" t="str">
            <v>ALCIVAR MERO LIGIA FLORESMILA</v>
          </cell>
          <cell r="C37" t="str">
            <v>AUXILIAR DE ENFERMERIA</v>
          </cell>
        </row>
        <row r="38">
          <cell r="B38" t="str">
            <v>ALCIVAR MOREIRA ANTHONY WILLIAM</v>
          </cell>
          <cell r="C38" t="str">
            <v>ENFERMERO/A 3</v>
          </cell>
        </row>
        <row r="39">
          <cell r="B39" t="str">
            <v>ALCIVAR MOREIRA CINTHYA KARINA</v>
          </cell>
          <cell r="C39" t="str">
            <v>ENFERMERO/A 3</v>
          </cell>
        </row>
        <row r="40">
          <cell r="B40" t="str">
            <v>ALCIVAR MOREIRA LUISA MARIA</v>
          </cell>
          <cell r="C40" t="str">
            <v>ENFERMERO/A 3</v>
          </cell>
          <cell r="D40" t="str">
            <v>RESP. SERV. PEDIATRIA</v>
          </cell>
        </row>
        <row r="41">
          <cell r="B41" t="str">
            <v>ALCIVAR PONCE ADRIANA VANESSA</v>
          </cell>
          <cell r="C41" t="str">
            <v>MEDICO/A GENERAL EN FUNCIONES HOSPITALARIAS</v>
          </cell>
        </row>
        <row r="42">
          <cell r="B42" t="str">
            <v>ALCIVAR QUIROZ MONICA DOLORES</v>
          </cell>
          <cell r="C42" t="str">
            <v>AUXILIAR DE ENFERMERIA</v>
          </cell>
        </row>
        <row r="43">
          <cell r="B43" t="str">
            <v>ALCIVAR ROMERO ANGELA ERNESTINA</v>
          </cell>
          <cell r="C43" t="str">
            <v>AUXILIAR DE ENFERMERIA</v>
          </cell>
        </row>
        <row r="44">
          <cell r="B44" t="str">
            <v>ALCIVAR SOLORZANO MANUEL ISAAC</v>
          </cell>
          <cell r="C44" t="str">
            <v>MEDICO/A GENERAL EN FUNCIONES HOSPITALARIAS</v>
          </cell>
        </row>
        <row r="45">
          <cell r="B45" t="str">
            <v>ALCIVAR VASQUEZ MANUEL IGNACIO</v>
          </cell>
          <cell r="C45" t="str">
            <v>MEDICO/A ESPECIALISTA EN CUIDADOS INTENSIVOS 3</v>
          </cell>
          <cell r="D45" t="str">
            <v xml:space="preserve">RESP. SERV UCIA </v>
          </cell>
        </row>
        <row r="46">
          <cell r="B46" t="str">
            <v>ALCIVAR ZAMBRANO RICARDO JOSE</v>
          </cell>
          <cell r="C46" t="str">
            <v>ENFERMERO/A 3</v>
          </cell>
        </row>
        <row r="47">
          <cell r="B47" t="str">
            <v>ALCIVAR ZAMBRANO WILLIAM ANDRES</v>
          </cell>
          <cell r="C47" t="str">
            <v>ANALISTA HIDROSANITARIO</v>
          </cell>
        </row>
        <row r="48">
          <cell r="B48" t="str">
            <v>ALMACHE ARAUZ CESAR ANDRES</v>
          </cell>
          <cell r="C48" t="str">
            <v>TECNOLOGO MEDICO DE REHABILITACION Y TERAPIA FISICA 2</v>
          </cell>
        </row>
        <row r="49">
          <cell r="B49" t="str">
            <v>ALMACHE ARAUZ KEVIN MICHAEL</v>
          </cell>
          <cell r="C49" t="str">
            <v>TECNOLOGO MEDICO DE REHABILITACION Y TERAPIA FISICA 2</v>
          </cell>
        </row>
        <row r="50">
          <cell r="B50" t="str">
            <v>ALMACHE PAREDES LUIS FERNANDO</v>
          </cell>
          <cell r="C50" t="str">
            <v>MEDICO/A GENERAL EN FUNCIONES HOSPITALARIAS</v>
          </cell>
        </row>
        <row r="51">
          <cell r="B51" t="str">
            <v>ALMEIDA LOPEZ VIVIAN VIRGINIA</v>
          </cell>
          <cell r="C51" t="str">
            <v>ENFERMERO/A 3</v>
          </cell>
        </row>
        <row r="52">
          <cell r="B52" t="str">
            <v>ALMEIDA SANTANA MARIANA KATIUSKA</v>
          </cell>
          <cell r="C52" t="str">
            <v>MEDICO/A ESPECIALISTA EN NEFROLOGIA 1</v>
          </cell>
        </row>
        <row r="53">
          <cell r="B53" t="str">
            <v>ALULIMA CUENCA JOHANA LILIANA</v>
          </cell>
          <cell r="C53" t="str">
            <v>AUXILIAR DE ENFERMERIA</v>
          </cell>
        </row>
        <row r="54">
          <cell r="B54" t="str">
            <v>ALVARADO ANDRADE GEMA LEANDRA</v>
          </cell>
          <cell r="C54" t="str">
            <v>ENFERMERO/A 3</v>
          </cell>
        </row>
        <row r="55">
          <cell r="B55" t="str">
            <v>ALVARADO BAILON DAYANA ELIZABETH</v>
          </cell>
          <cell r="C55" t="str">
            <v>MEDICO/A GENERAL EN FUNCIONES HOSPITALARIAS</v>
          </cell>
        </row>
        <row r="56">
          <cell r="B56" t="str">
            <v>ALVARADO BARCIA CRISTOPHER JOSE</v>
          </cell>
          <cell r="C56" t="str">
            <v>ENFERMERO/A 3</v>
          </cell>
        </row>
        <row r="57">
          <cell r="B57" t="str">
            <v>ALVARADO GARCIA MARIA MONSERRATE</v>
          </cell>
          <cell r="C57" t="str">
            <v>AUXILIAR DE LABORATORIO</v>
          </cell>
        </row>
        <row r="58">
          <cell r="B58" t="str">
            <v>ALVARADO INTRIAGO GEMA RAQUEL</v>
          </cell>
          <cell r="C58" t="str">
            <v>AUXILIAR DE LABORATORIO</v>
          </cell>
        </row>
        <row r="59">
          <cell r="B59" t="str">
            <v>ALVARADO LOOR JOSCELINE LISSETTE</v>
          </cell>
          <cell r="C59" t="str">
            <v>ENFERMERO/A 3</v>
          </cell>
        </row>
        <row r="60">
          <cell r="B60" t="str">
            <v>ALVARADO PEÑAFIEL DARIO GABRIEL</v>
          </cell>
          <cell r="C60" t="str">
            <v>AUXILIAR DE ENFERMERIA</v>
          </cell>
        </row>
        <row r="61">
          <cell r="B61" t="str">
            <v>ALVAREZ ALCIVAR SERGIA DANIELA</v>
          </cell>
          <cell r="C61" t="str">
            <v>MEDICO/A ESPECIALISTA EN CARDIOLOGIA 1</v>
          </cell>
        </row>
        <row r="62">
          <cell r="B62" t="str">
            <v>ALVAREZ DEMERA LUZ MARINA</v>
          </cell>
          <cell r="C62" t="str">
            <v>GUARDALMACEN</v>
          </cell>
        </row>
        <row r="63">
          <cell r="B63" t="str">
            <v>ALVAREZ LUGO GENESIS LUCETY</v>
          </cell>
          <cell r="C63" t="str">
            <v>MEDICO/A GENERAL EN FUNCIONES HOSPITALARIAS</v>
          </cell>
        </row>
        <row r="64">
          <cell r="B64" t="str">
            <v>ALVAREZ MOREIRA KAREN VALERIA</v>
          </cell>
          <cell r="C64" t="str">
            <v>ASISTENTE ADMINISTRATIVO /A 2</v>
          </cell>
        </row>
        <row r="65">
          <cell r="B65" t="str">
            <v>ALVAREZ NAVARRETE EDISON RICARDO</v>
          </cell>
          <cell r="C65" t="str">
            <v>ENFERMERO/A 3</v>
          </cell>
        </row>
        <row r="66">
          <cell r="B66" t="str">
            <v>ALVAREZ NAVARRETE LUIS ARMANDO</v>
          </cell>
          <cell r="C66" t="str">
            <v>ENFERMERO/A 3</v>
          </cell>
        </row>
        <row r="67">
          <cell r="B67" t="str">
            <v>ALVAREZ SCHETTINI CARLA MARIA</v>
          </cell>
          <cell r="C67" t="str">
            <v>AUXILIAR DE ENFERMERIA</v>
          </cell>
        </row>
        <row r="68">
          <cell r="B68" t="str">
            <v>ALVIA DEL CASTILLO KATIUSKA ELIZABETH</v>
          </cell>
          <cell r="C68" t="str">
            <v>ENFERMERO/A 5</v>
          </cell>
          <cell r="D68" t="str">
            <v>RESP. CONSULTA EXTERNA</v>
          </cell>
        </row>
        <row r="69">
          <cell r="B69" t="str">
            <v>ALVIA LOPEZ MELISSA STEFANIA</v>
          </cell>
          <cell r="C69" t="str">
            <v>ENFERMERO/A 3</v>
          </cell>
        </row>
        <row r="70">
          <cell r="B70" t="str">
            <v>ALVIA PARRAGA ADRIANA ELIZABETH</v>
          </cell>
          <cell r="C70" t="str">
            <v>MEDICO/A GENERAL EN FUNCIONES HOSPITALARIAS</v>
          </cell>
        </row>
        <row r="71">
          <cell r="B71" t="str">
            <v>ANATO MENDEZ VERONICA COROMOTO</v>
          </cell>
          <cell r="C71" t="str">
            <v>MEDICO/A ESPECIALISTA EN CUIDADOS INTENSIVOS 1</v>
          </cell>
        </row>
        <row r="72">
          <cell r="B72" t="str">
            <v>ANCHUNDIA BUSTAMANTE VERONICA ANDREINA</v>
          </cell>
          <cell r="C72" t="str">
            <v>ENFERMERO/A 3</v>
          </cell>
          <cell r="D72" t="str">
            <v xml:space="preserve">RESP. SERV. HOSPITAL DEL DIA </v>
          </cell>
        </row>
        <row r="73">
          <cell r="B73" t="str">
            <v>ANCHUNDIA LUCAS MARITZA ELIZABETH</v>
          </cell>
          <cell r="C73" t="str">
            <v>ENFERMERO/A 3</v>
          </cell>
        </row>
        <row r="74">
          <cell r="B74" t="str">
            <v>ANCHUNDIA PICO JOSE LUIS</v>
          </cell>
          <cell r="C74" t="str">
            <v>MEDICO/A ESPECIALISTA EN GASTROENTEROLOGIA 1</v>
          </cell>
        </row>
        <row r="75">
          <cell r="B75" t="str">
            <v>ANCHUNDIA REZABALA LADY STEPHANIE</v>
          </cell>
          <cell r="C75" t="str">
            <v>MEDICO/A GENERAL EN FUNCIONES HOSPITALARIAS</v>
          </cell>
        </row>
        <row r="76">
          <cell r="B76" t="str">
            <v>ANDRADE CEDEÑO MARIA FERNANDA</v>
          </cell>
          <cell r="C76" t="str">
            <v>ANALISTA DE TALENTO HUMANO 1</v>
          </cell>
        </row>
        <row r="77">
          <cell r="B77" t="str">
            <v>ANDRADE MOREIRA ANDREA MONSERRAT</v>
          </cell>
          <cell r="C77" t="str">
            <v>MEDICO/A GENERAL EN FUNCIONES HOSPITALARIAS</v>
          </cell>
        </row>
        <row r="78">
          <cell r="B78" t="str">
            <v>ANGULO MONTALVAN KERLY LILIBETH</v>
          </cell>
          <cell r="C78" t="str">
            <v>QUIMICO / BIOQUIMICO FARMACEUTICO 1</v>
          </cell>
        </row>
        <row r="79">
          <cell r="B79" t="str">
            <v>ANGULO VERGARA LICETH VANESSA</v>
          </cell>
          <cell r="C79" t="str">
            <v>ENFERMERO/A 3</v>
          </cell>
        </row>
        <row r="80">
          <cell r="B80" t="str">
            <v>ANZULES PINCAY ELIANA LISSETH</v>
          </cell>
          <cell r="C80" t="str">
            <v>ENFERMERO/A 3</v>
          </cell>
        </row>
        <row r="81">
          <cell r="B81" t="str">
            <v>ANZULES VERA AYRTON JOEL</v>
          </cell>
          <cell r="C81" t="str">
            <v>ENFERMERO/A 3</v>
          </cell>
        </row>
        <row r="82">
          <cell r="B82" t="str">
            <v>ARAGUNDI CASTRO MARIA JOSE</v>
          </cell>
          <cell r="C82" t="str">
            <v>ENFERMERO/A 3</v>
          </cell>
        </row>
        <row r="83">
          <cell r="B83" t="str">
            <v>ARAGUNDI DEMERA CARMEN GISSELA</v>
          </cell>
          <cell r="C83" t="str">
            <v>ENFERMERO/A 3</v>
          </cell>
        </row>
        <row r="84">
          <cell r="B84" t="str">
            <v>ARAUZ CATAGUA GENESSIS PATRICIA</v>
          </cell>
          <cell r="C84" t="str">
            <v>MEDICO/A GENERAL EN FUNCIONES HOSPITALARIAS</v>
          </cell>
        </row>
        <row r="85">
          <cell r="B85" t="str">
            <v>ARAUZ COBEÑA VERONICA PAOLA</v>
          </cell>
          <cell r="C85" t="str">
            <v>MEDICO/A GENERAL EN FUNCIONES HOSPITALARIAS</v>
          </cell>
        </row>
        <row r="86">
          <cell r="B86" t="str">
            <v>ARAUZ DELGADO CARLOS ARMANDO</v>
          </cell>
          <cell r="C86" t="str">
            <v>MEDICO/A GENERAL EN FUNCIONES HOSPITALARIAS</v>
          </cell>
        </row>
        <row r="87">
          <cell r="B87" t="str">
            <v>ARAY CEDEÑO DOUGLAS DAVID</v>
          </cell>
          <cell r="C87" t="str">
            <v>ENFERMERO/A 3</v>
          </cell>
        </row>
        <row r="88">
          <cell r="B88" t="str">
            <v>AREVALO ANDRADE MARCO ANTONIO</v>
          </cell>
          <cell r="C88" t="str">
            <v>MEDICO/A GENERAL EN FUNCIONES HOSPITALARIAS</v>
          </cell>
        </row>
        <row r="89">
          <cell r="B89" t="str">
            <v>AREVALO GUERRERO ZANNI NORELLA</v>
          </cell>
          <cell r="C89" t="str">
            <v>MEDICO/A ESPECIALISTA EN MEDICINA INTERNA 1</v>
          </cell>
        </row>
        <row r="90">
          <cell r="B90" t="str">
            <v>AREVALO MACIAS GEMA PATRICIA</v>
          </cell>
          <cell r="C90" t="str">
            <v>MEDICO/A ESPECIALISTA EN PEDIATRIA 1</v>
          </cell>
        </row>
        <row r="91">
          <cell r="B91" t="str">
            <v>ARGANDOÑA FERRIN CESAR ENRIQUE</v>
          </cell>
          <cell r="C91" t="str">
            <v>MEDICO/A GENERAL EN FUNCIONES HOSPITALARIAS</v>
          </cell>
        </row>
        <row r="92">
          <cell r="B92" t="str">
            <v>ARGANDOÑA MACIAS JARITHZA ROCIO</v>
          </cell>
          <cell r="C92" t="str">
            <v>ASISTENTE DE ADMISIONES</v>
          </cell>
        </row>
        <row r="93">
          <cell r="B93" t="str">
            <v>ARGANDOÑA SALTOS AQUILES RICARDO</v>
          </cell>
          <cell r="C93" t="str">
            <v>MEDICO/A ESPECIALISTA EN EMERGENCIAS Y DESASTRES 1</v>
          </cell>
        </row>
        <row r="94">
          <cell r="B94" t="str">
            <v>ARIAS LOOR VICTOR MANUEL</v>
          </cell>
          <cell r="C94" t="str">
            <v>MEDICO/A ESPECIALISTA EN CUIDADOS INTENSIVOS 1</v>
          </cell>
        </row>
        <row r="95">
          <cell r="B95" t="str">
            <v>ARMIJOS DUARTE MARIA DOLORES</v>
          </cell>
          <cell r="C95" t="str">
            <v>QUIMICO / BIOQUIMICO FARMACEUTICO 1</v>
          </cell>
        </row>
        <row r="96">
          <cell r="B96" t="str">
            <v>AROCA MATARRENO GABRIEL ADAN</v>
          </cell>
          <cell r="C96" t="str">
            <v>ANALISTA DE ASESORIA JURIDICA 1</v>
          </cell>
        </row>
        <row r="97">
          <cell r="B97" t="str">
            <v>ARREAGA QUIÑONEZ LILIBETH PAMELA</v>
          </cell>
          <cell r="C97" t="str">
            <v>QUIMICO / BIOQUIMICO FARMACEUTICO 1</v>
          </cell>
        </row>
        <row r="98">
          <cell r="B98" t="str">
            <v>ARTEAGA ACURIA ANDREA MARINA</v>
          </cell>
          <cell r="C98" t="str">
            <v>MEDICO/A GENERAL EN FUNCIONES HOSPITALARIAS</v>
          </cell>
        </row>
        <row r="99">
          <cell r="B99" t="str">
            <v>ARTEAGA ALCIVAR MARCELO XAVIER</v>
          </cell>
          <cell r="C99" t="str">
            <v>AUXILIAR DE ENFERMERIA</v>
          </cell>
        </row>
        <row r="100">
          <cell r="B100" t="str">
            <v>ARTEAGA ARTEAGA YANDRY JAVIER</v>
          </cell>
          <cell r="C100" t="str">
            <v>ENFERMERO/A 3</v>
          </cell>
        </row>
        <row r="101">
          <cell r="B101" t="str">
            <v>ARTEAGA CHANCAY VIRGINIA MONSERRATE</v>
          </cell>
          <cell r="C101" t="str">
            <v>AUXILIAR DE ENFERMERIA</v>
          </cell>
        </row>
        <row r="102">
          <cell r="B102" t="str">
            <v>ARTEAGA CHEVEZ EVELYN ESTRELLA</v>
          </cell>
          <cell r="C102" t="str">
            <v>ENFERMERO/A 3</v>
          </cell>
        </row>
        <row r="103">
          <cell r="B103" t="str">
            <v>ARTEAGA DELGADO PATRICIA YEMINA</v>
          </cell>
          <cell r="C103" t="str">
            <v>ENFERMERO/A 5</v>
          </cell>
        </row>
        <row r="104">
          <cell r="B104" t="str">
            <v>ARTEAGA MOREIRA FREDDY FERNANDO</v>
          </cell>
          <cell r="C104" t="str">
            <v>MEDICO/A ESPECIALISTA EN ANESTESIOLOGIA 1</v>
          </cell>
        </row>
        <row r="105">
          <cell r="B105" t="str">
            <v>ARTEAGA NOBOA JURGEN WILSON</v>
          </cell>
          <cell r="C105" t="str">
            <v>MEDICO/A GENERAL EN FUNCIONES HOSPITALARIAS</v>
          </cell>
        </row>
        <row r="106">
          <cell r="B106" t="str">
            <v>ARTEAGA PONCE GEMA MARIA</v>
          </cell>
          <cell r="C106" t="str">
            <v>ENFERMERO/A 3</v>
          </cell>
        </row>
        <row r="107">
          <cell r="B107" t="str">
            <v>ARTEAGA SALVATIERRA DIEGO RENE</v>
          </cell>
          <cell r="C107" t="str">
            <v>LABORATORISTA CLINICO 1</v>
          </cell>
        </row>
        <row r="108">
          <cell r="B108" t="str">
            <v>ARTEAGA VACA LADY JULISSA</v>
          </cell>
          <cell r="C108" t="str">
            <v>ASISTENTE ADMINISTRATIVO /A 2</v>
          </cell>
        </row>
        <row r="109">
          <cell r="B109" t="str">
            <v>ASTUDILLO CUENCA VANESSA ELIZABETH</v>
          </cell>
          <cell r="C109" t="str">
            <v>MEDICO/A ESPECIALISTA EN ANESTESIOLOGIA 1</v>
          </cell>
        </row>
        <row r="110">
          <cell r="B110" t="str">
            <v>AVALOS QUIZHPI BETTY ELINA</v>
          </cell>
          <cell r="C110" t="str">
            <v>MEDICO/A GENERAL EN FUNCIONES HOSPITALARIAS</v>
          </cell>
        </row>
        <row r="111">
          <cell r="B111" t="str">
            <v>AVENDAÑO VALENZUELA LUIGGI GERARDO</v>
          </cell>
          <cell r="C111" t="str">
            <v>ENFERMERO/A 3</v>
          </cell>
        </row>
        <row r="112">
          <cell r="B112" t="str">
            <v>AVILA ANDRADE MARIA ALEJANDRA</v>
          </cell>
          <cell r="C112" t="str">
            <v>ENFERMERO/A 3</v>
          </cell>
        </row>
        <row r="113">
          <cell r="B113" t="str">
            <v>AVILA ZAMBRANO JOSE ALEJANDRO</v>
          </cell>
          <cell r="C113" t="str">
            <v>ENFERMERO/A 3</v>
          </cell>
        </row>
        <row r="114">
          <cell r="B114" t="str">
            <v>BACUSOY BAQUE JOSE OSWALDO</v>
          </cell>
          <cell r="C114" t="str">
            <v>AUXILIAR DE FARMACIA</v>
          </cell>
        </row>
        <row r="115">
          <cell r="B115" t="str">
            <v>BAILON PEÑAFIEL VICTOR MANUEL</v>
          </cell>
          <cell r="C115" t="str">
            <v>MEDICO/A ESPECIALISTA EN NEFROLOGIA 1</v>
          </cell>
        </row>
        <row r="116">
          <cell r="B116" t="str">
            <v>BAILON VINCES CARLOS EDUARDO</v>
          </cell>
          <cell r="C116" t="str">
            <v>MEDICO/A GENERAL EN FUNCIONES HOSPITALARIAS</v>
          </cell>
        </row>
        <row r="117">
          <cell r="B117" t="str">
            <v>BALDA ZAMBRANO HARRY DARIO</v>
          </cell>
          <cell r="C117" t="str">
            <v>MEDICO/A ESPECIALISTA EN TRAUMATOLOGIA 1</v>
          </cell>
        </row>
        <row r="118">
          <cell r="B118" t="str">
            <v>BALLEN FAUBLA ALEXIS MICHAEL</v>
          </cell>
          <cell r="C118" t="str">
            <v>MEDICO/A GENERAL EN FUNCIONES HOSPITALARIAS</v>
          </cell>
        </row>
        <row r="119">
          <cell r="B119" t="str">
            <v>BAQUE BAQUE JAMILETH YARITZA</v>
          </cell>
          <cell r="C119" t="str">
            <v>AUXILIAR DE ENFERMERIA</v>
          </cell>
        </row>
        <row r="120">
          <cell r="B120" t="str">
            <v>BAQUE DEL VALLE ANA MARIA</v>
          </cell>
          <cell r="C120" t="str">
            <v>TECNOLOGO MEDICO DE LABORATORIO 3</v>
          </cell>
        </row>
        <row r="121">
          <cell r="B121" t="str">
            <v>BAQUE DEL VALLE OLGA MONSERRATE</v>
          </cell>
          <cell r="C121" t="str">
            <v>ANALISTA DE TALENTO HUMANO 3</v>
          </cell>
        </row>
        <row r="122">
          <cell r="B122" t="str">
            <v>BAQUE HIDALGO JENIFFER ELIZABETH</v>
          </cell>
          <cell r="C122" t="str">
            <v>MEDICO/A ESPECIALISTA EN GERIATRIA 1</v>
          </cell>
        </row>
        <row r="123">
          <cell r="B123" t="str">
            <v>BAQUE MERO JONATHAN DAVID</v>
          </cell>
          <cell r="C123" t="str">
            <v>ENFERMERO/A 3</v>
          </cell>
        </row>
        <row r="124">
          <cell r="B124" t="str">
            <v>BAQUE SOLEDISPA GRACE MABEL</v>
          </cell>
          <cell r="C124" t="str">
            <v>ENFERMERO/A 3</v>
          </cell>
        </row>
        <row r="125">
          <cell r="B125" t="str">
            <v>BAQUE VILLAFUERTE EDGAR IVAN</v>
          </cell>
          <cell r="C125" t="str">
            <v>TECNOLOGO MEDICO DE IMAGENOLOGIA 2</v>
          </cell>
        </row>
        <row r="126">
          <cell r="B126" t="str">
            <v>BARAHONA TIGUA MARLENE PATRICIA</v>
          </cell>
          <cell r="C126" t="str">
            <v>ENFERMERO/A 3</v>
          </cell>
        </row>
        <row r="127">
          <cell r="B127" t="str">
            <v>BARBA VELEZ MARIA ALEJANDRA</v>
          </cell>
          <cell r="C127" t="str">
            <v>MEDICO/A GENERAL EN FUNCIONES HOSPITALARIAS</v>
          </cell>
        </row>
        <row r="128">
          <cell r="B128" t="str">
            <v>BARBERAN BRUN JOSE LUIS</v>
          </cell>
          <cell r="C128" t="str">
            <v>MEDICO/A ESPECIALISTA EN CUIDADOS INTENSIVOS 1</v>
          </cell>
        </row>
        <row r="129">
          <cell r="B129" t="str">
            <v>BARBERAN CORNEJO CARLA STEFANIA</v>
          </cell>
          <cell r="C129" t="str">
            <v>MEDICO/A GENERAL EN FUNCIONES HOSPITALARIAS</v>
          </cell>
        </row>
        <row r="130">
          <cell r="B130" t="str">
            <v>BARCIA INTRIAGO KIMBERLY ELIZABETH</v>
          </cell>
          <cell r="C130" t="str">
            <v>ENFERMERO/A 3</v>
          </cell>
        </row>
        <row r="131">
          <cell r="B131" t="str">
            <v>BARCIA MANTUANO DANNY JUAN</v>
          </cell>
          <cell r="C131" t="str">
            <v>AUXILIAR DE ENFERMERIA</v>
          </cell>
        </row>
        <row r="132">
          <cell r="B132" t="str">
            <v>BARCIA SANCHEZ ROBERT PAUL</v>
          </cell>
          <cell r="C132" t="str">
            <v>ENFERMERO/A 3</v>
          </cell>
        </row>
        <row r="133">
          <cell r="B133" t="str">
            <v>BARRE ZAMBRANO CARLOS GERMAN</v>
          </cell>
          <cell r="C133" t="str">
            <v>AUXILIAR DE ENFERMERIA</v>
          </cell>
        </row>
        <row r="134">
          <cell r="B134" t="str">
            <v>BARREIRO SANTANA ERIKA PIERINA</v>
          </cell>
          <cell r="C134" t="str">
            <v>ENFERMERO/A 3</v>
          </cell>
        </row>
        <row r="135">
          <cell r="B135" t="str">
            <v>BARRETO PINCAY GEMA MONSERRATE</v>
          </cell>
          <cell r="C135" t="str">
            <v>MEDICO/A GENERAL EN FUNCIONES HOSPITALARIAS</v>
          </cell>
        </row>
        <row r="136">
          <cell r="B136" t="str">
            <v>BARREZUETA CHAVEZ LEANDRO TOBIAS</v>
          </cell>
          <cell r="C136" t="str">
            <v>TECNOLOGO MEDICO DE LABORATORIO 1</v>
          </cell>
        </row>
        <row r="137">
          <cell r="B137" t="str">
            <v>BASTIDAS YANEZ HECTOR ENRIQUE</v>
          </cell>
          <cell r="C137" t="str">
            <v>AUXILIAR DE FARMACIA</v>
          </cell>
        </row>
        <row r="138">
          <cell r="B138" t="str">
            <v>BASURTO AVILA JOSELIN CRISTINA</v>
          </cell>
          <cell r="C138" t="str">
            <v>ENFERMERO/A 3</v>
          </cell>
        </row>
        <row r="139">
          <cell r="B139" t="str">
            <v>BASURTO LOOR GEMA MERCEDES</v>
          </cell>
          <cell r="C139" t="str">
            <v>AUXILIAR DE ENFERMERIA</v>
          </cell>
        </row>
        <row r="140">
          <cell r="B140" t="str">
            <v>BASURTO MERA IVAN GUSTAVO</v>
          </cell>
          <cell r="C140" t="str">
            <v>MEDICO/A GENERAL EN FUNCIONES HOSPITALARIAS</v>
          </cell>
        </row>
        <row r="141">
          <cell r="B141" t="str">
            <v>BAZURTO ALAVA GEMA CAROLINA</v>
          </cell>
          <cell r="C141" t="str">
            <v>ENFERMERO/A 3</v>
          </cell>
        </row>
        <row r="142">
          <cell r="B142" t="str">
            <v>BAZURTO LATORRE FABIOLA LISSETTE</v>
          </cell>
          <cell r="C142" t="str">
            <v>MEDICO/A GENERAL EN FUNCIONES HOSPITALARIAS</v>
          </cell>
        </row>
        <row r="143">
          <cell r="B143" t="str">
            <v>BAZURTO PALMA JULIO ROBERTO</v>
          </cell>
          <cell r="C143" t="str">
            <v>MEDICO/A ESPECIALISTA EN PEDIATRIA 1</v>
          </cell>
        </row>
        <row r="144">
          <cell r="B144" t="str">
            <v>BAZURTO PEREZ PATRICIA ALEXANDRA</v>
          </cell>
          <cell r="C144" t="str">
            <v>ENFERMERO/A 3</v>
          </cell>
        </row>
        <row r="145">
          <cell r="B145" t="str">
            <v>BEDON ARGOTI DANIEL ALEJANDRO</v>
          </cell>
          <cell r="C145" t="str">
            <v>MEDICO/A ESPECIALISTA EN TRAUMATOLOGIA 1</v>
          </cell>
        </row>
        <row r="146">
          <cell r="B146" t="str">
            <v>BERMELLO MERA JOSE ANTONIO</v>
          </cell>
          <cell r="C146" t="str">
            <v>ENFERMERO/A 3</v>
          </cell>
        </row>
        <row r="147">
          <cell r="B147" t="str">
            <v>BERMEO MOREIRA HECTOR LUAN</v>
          </cell>
          <cell r="C147" t="str">
            <v>AUXILIAR ADMINISTRATIVO DE SALUD DEL SECTOR SALUD</v>
          </cell>
        </row>
        <row r="148">
          <cell r="B148" t="str">
            <v>BERMUDEZ DEMERA FRANK DANILO</v>
          </cell>
          <cell r="C148" t="str">
            <v>ENFERMERO/A 3</v>
          </cell>
        </row>
        <row r="149">
          <cell r="B149" t="str">
            <v>BERMUDEZ JIMENEZ KARLA MARIANA</v>
          </cell>
          <cell r="C149" t="str">
            <v>TECNOLOGO MEDICO DE LABORATORIO 3</v>
          </cell>
        </row>
        <row r="150">
          <cell r="B150" t="str">
            <v>BERMUDEZ ZAMBRANO ROSA IRENE</v>
          </cell>
          <cell r="C150" t="str">
            <v>AUXILIAR DE FARMACIA</v>
          </cell>
        </row>
        <row r="151">
          <cell r="B151" t="str">
            <v>BONINO SACON ERIKA JAMILETH</v>
          </cell>
          <cell r="C151" t="str">
            <v>ENFERMERO/A 3</v>
          </cell>
        </row>
        <row r="152">
          <cell r="B152" t="str">
            <v>BORBOR VILLAGRAN OLGA LISSETTE</v>
          </cell>
          <cell r="C152" t="str">
            <v>MEDICO/A GENERAL EN FUNCIONES HOSPITALARIAS</v>
          </cell>
        </row>
        <row r="153">
          <cell r="B153" t="str">
            <v>BORJA BASTIDAS EDISON ANDRES</v>
          </cell>
          <cell r="C153" t="str">
            <v>MEDICO/A ESPECIALISTA EN ANESTESIOLOGIA 1</v>
          </cell>
        </row>
        <row r="154">
          <cell r="B154" t="str">
            <v>BORJA MIELES MARIA ANDREINA</v>
          </cell>
          <cell r="C154" t="str">
            <v>ENFERMERO/A 3</v>
          </cell>
        </row>
        <row r="155">
          <cell r="B155" t="str">
            <v>BORRERO FIGUEROA ANDREA BERENICE</v>
          </cell>
          <cell r="C155" t="str">
            <v>TECNOLOGO MEDICO DE LABORATORIO 3</v>
          </cell>
        </row>
        <row r="156">
          <cell r="B156" t="str">
            <v>BOWEN MORENO GLADYS BRISEIDA</v>
          </cell>
          <cell r="C156" t="str">
            <v>AUXILIAR DE ENFERMERIA</v>
          </cell>
        </row>
        <row r="157">
          <cell r="B157" t="str">
            <v>BRAVO AVENDAÑO MARIA FERNANDA</v>
          </cell>
          <cell r="C157" t="str">
            <v>AUXILIAR DE ENFERMERIA</v>
          </cell>
        </row>
        <row r="158">
          <cell r="B158" t="str">
            <v>BRAVO AVENDAÑO MONICA JOHANA</v>
          </cell>
          <cell r="C158" t="str">
            <v>AUXILIAR DE ENFERMERIA</v>
          </cell>
        </row>
        <row r="159">
          <cell r="B159" t="str">
            <v>BRAVO BERMELLO GEMA ELIZABETH</v>
          </cell>
          <cell r="C159" t="str">
            <v>ENFERMERO/A 3</v>
          </cell>
        </row>
        <row r="160">
          <cell r="B160" t="str">
            <v>BRAVO CEDEÑO MANUEL ALBERTO</v>
          </cell>
          <cell r="C160" t="str">
            <v>MEDICO/A ESPECIALISTA EN NEUMOLOGIA 1</v>
          </cell>
        </row>
        <row r="161">
          <cell r="B161" t="str">
            <v>BRAVO CHAVEZ KARLA NATHALY</v>
          </cell>
          <cell r="C161" t="str">
            <v>AUXILIAR DE ENFERMERIA</v>
          </cell>
        </row>
        <row r="162">
          <cell r="B162" t="str">
            <v>BRAVO LOOR JONATHAN GEOVANNY</v>
          </cell>
          <cell r="C162" t="str">
            <v>ENFERMERO/A 3</v>
          </cell>
        </row>
        <row r="163">
          <cell r="B163" t="str">
            <v>BRAVO MACIAS DANIEL RAFAEL</v>
          </cell>
          <cell r="C163" t="str">
            <v>ANALISTA DE SOPORTE TECNICO</v>
          </cell>
        </row>
        <row r="164">
          <cell r="B164" t="str">
            <v>BRAVO MENDOZA ANGEL LEONARDO</v>
          </cell>
          <cell r="C164" t="str">
            <v>AUXILIAR ADMINISTRATIVO DE SALUD DEL SECTOR SALUD</v>
          </cell>
        </row>
        <row r="165">
          <cell r="B165" t="str">
            <v>BRAVO MENDOZA VICENTE JUNIOR</v>
          </cell>
          <cell r="C165" t="str">
            <v>TECNICO DE MANTENIMIENTO</v>
          </cell>
        </row>
        <row r="166">
          <cell r="B166" t="str">
            <v>BRAVO PALLASCO CECIBEL JULIETH</v>
          </cell>
          <cell r="C166" t="str">
            <v>ENFERMERO/A 3</v>
          </cell>
        </row>
        <row r="167">
          <cell r="B167" t="str">
            <v>BRAVO RODRIGUEZ MARIA VANESSA</v>
          </cell>
          <cell r="C167" t="str">
            <v>ENFERMERO/A 3</v>
          </cell>
        </row>
        <row r="168">
          <cell r="B168" t="str">
            <v>BRAVO ROSILLO EDISON DANIEL</v>
          </cell>
          <cell r="C168" t="str">
            <v>ANALISTA DE PLANIFICACION, SEGUIMIENTO Y EVALUACION DE LA GESTION 1</v>
          </cell>
        </row>
        <row r="169">
          <cell r="B169" t="str">
            <v>BRAVO SUAREZ CESAR MANUEL</v>
          </cell>
          <cell r="C169" t="str">
            <v>MEDICO/A GENERAL EN FUNCIONES HOSPITALARIAS</v>
          </cell>
        </row>
        <row r="170">
          <cell r="B170" t="str">
            <v>BRAVO VALENCIA CONCEPCION CECIBEL</v>
          </cell>
          <cell r="C170" t="str">
            <v>AUXILIAR DE ENFERMERIA</v>
          </cell>
        </row>
        <row r="171">
          <cell r="B171" t="str">
            <v>BRICEÑO GAROFALO JOSELYN VANESSA</v>
          </cell>
          <cell r="C171" t="str">
            <v>ENFERMERO/A 3</v>
          </cell>
        </row>
        <row r="172">
          <cell r="B172" t="str">
            <v>BRIONES AGUAYO GRACE ELIZABETH</v>
          </cell>
          <cell r="C172" t="str">
            <v>ASISTENTE DE ADMISIONES</v>
          </cell>
        </row>
        <row r="173">
          <cell r="B173" t="str">
            <v>BRIONES ALAVA LIGIA ELENA</v>
          </cell>
          <cell r="C173" t="str">
            <v>ENFERMERO/A 3</v>
          </cell>
        </row>
        <row r="174">
          <cell r="B174" t="str">
            <v>BRIONES CEDEÑO LADY PATRICIA</v>
          </cell>
          <cell r="C174" t="str">
            <v>ENFERMERO/A 3</v>
          </cell>
        </row>
        <row r="175">
          <cell r="B175" t="str">
            <v>BRIONES CEVALLOS DIANA MONSERRATE</v>
          </cell>
          <cell r="C175" t="str">
            <v>MEDICO/A GENERAL EN FUNCIONES HOSPITALARIAS</v>
          </cell>
        </row>
        <row r="176">
          <cell r="B176" t="str">
            <v>BRIONES CHEVEZ ANGELA MARIANA</v>
          </cell>
          <cell r="C176" t="str">
            <v>AUXILIAR DE ENFERMERIA</v>
          </cell>
        </row>
        <row r="177">
          <cell r="B177" t="str">
            <v>BRIONES CHEVEZ EMMA ANTONIA</v>
          </cell>
          <cell r="C177" t="str">
            <v>AUXILIAR DE ENFERMERIA</v>
          </cell>
        </row>
        <row r="178">
          <cell r="B178" t="str">
            <v>BRIONES DELGADO HUGO ANDRES</v>
          </cell>
          <cell r="C178" t="str">
            <v>TECNOLOGO MEDICO DE LABORATORIO 1</v>
          </cell>
        </row>
        <row r="179">
          <cell r="B179" t="str">
            <v>BRIONES GOYBURO OLGA FRANCESCA</v>
          </cell>
          <cell r="C179" t="str">
            <v>ASISTENTE DE ADMINISTRACION DE CAJA</v>
          </cell>
        </row>
        <row r="180">
          <cell r="B180" t="str">
            <v>BRIONES MACIAS CARLOS ELIAS</v>
          </cell>
          <cell r="C180" t="str">
            <v>ENFERMERO/A 3</v>
          </cell>
        </row>
        <row r="181">
          <cell r="B181" t="str">
            <v>BRIONES MARIN JOSE JULIAN</v>
          </cell>
          <cell r="C181" t="str">
            <v>ENFERMERO/A 3</v>
          </cell>
        </row>
        <row r="182">
          <cell r="B182" t="str">
            <v>BRIONES MENDOZA FERNANDO FRANCISCO</v>
          </cell>
          <cell r="C182" t="str">
            <v>TECNICO DE MANTENIMIENTO</v>
          </cell>
        </row>
        <row r="183">
          <cell r="B183" t="str">
            <v>BRIONES MEZA MYRIAN ELENA</v>
          </cell>
          <cell r="C183" t="str">
            <v>ENFERMERO/A 3</v>
          </cell>
        </row>
        <row r="184">
          <cell r="B184" t="str">
            <v>BRIONES MUZZIO ADONIS DINNIS</v>
          </cell>
          <cell r="C184" t="str">
            <v>AUXILIAR ADMINISTRATIVO DE SALUD DEL SECTOR SALUD</v>
          </cell>
        </row>
        <row r="185">
          <cell r="B185" t="str">
            <v>BRIONES NAVARRO JESUS DAVID</v>
          </cell>
          <cell r="C185" t="str">
            <v>MEDICO/A GENERAL EN FUNCIONES HOSPITALARIAS</v>
          </cell>
        </row>
        <row r="186">
          <cell r="B186" t="str">
            <v>BRIONES PALMA JANETH LORENA</v>
          </cell>
          <cell r="C186" t="str">
            <v>AUXILIAR DE ENFERMERIA</v>
          </cell>
        </row>
        <row r="187">
          <cell r="B187" t="str">
            <v>BRIONES VELEZ ELIANA ELIZABETH</v>
          </cell>
          <cell r="C187" t="str">
            <v>ENFERMERO/A 3</v>
          </cell>
        </row>
        <row r="188">
          <cell r="B188" t="str">
            <v>BRIONES ZAMBRANO VIVIANA CECILIA</v>
          </cell>
          <cell r="C188" t="str">
            <v>ASISTENTE DE ADMINISTRACION DE CAJA</v>
          </cell>
        </row>
        <row r="189">
          <cell r="B189" t="str">
            <v>BRITO CEDEÑO ANDRES MAXIMILIANO</v>
          </cell>
          <cell r="C189" t="str">
            <v>ENFERMERO/A 3</v>
          </cell>
        </row>
        <row r="190">
          <cell r="B190" t="str">
            <v>BRITO ERAZO ZARYA GRACE</v>
          </cell>
          <cell r="C190" t="str">
            <v>ENFERMERO/A 3</v>
          </cell>
        </row>
        <row r="191">
          <cell r="B191" t="str">
            <v>BURBANO BRAVO JHOSELIN NICOLE</v>
          </cell>
          <cell r="C191" t="str">
            <v>MEDICO/A ESPECIALISTA EN PEDIATRIA 1</v>
          </cell>
        </row>
        <row r="192">
          <cell r="B192" t="str">
            <v>BURGOS LOPEZ YAIRA YASMINA</v>
          </cell>
          <cell r="C192" t="str">
            <v>ENFERMERO/A 3</v>
          </cell>
        </row>
        <row r="193">
          <cell r="B193" t="str">
            <v>BURGOS QUIROGA ANA GABRIELA</v>
          </cell>
          <cell r="C193" t="str">
            <v>MEDICO/A GENERAL EN FUNCIONES HOSPITALARIAS</v>
          </cell>
        </row>
        <row r="194">
          <cell r="B194" t="str">
            <v>BUZETTA FRANCO JAIME RICARDO</v>
          </cell>
          <cell r="C194" t="str">
            <v>MEDICO/A ESPECIALISTA EN PSIQUIATRIA 1</v>
          </cell>
        </row>
        <row r="195">
          <cell r="B195" t="str">
            <v>CABANILLA LOPEZ KATYA ANDREINA</v>
          </cell>
          <cell r="C195" t="str">
            <v>ENFERMERO/A 3</v>
          </cell>
        </row>
        <row r="196">
          <cell r="B196" t="str">
            <v>CABEZAS ARTEAGA MARIO GERARDO</v>
          </cell>
          <cell r="C196" t="str">
            <v>AUXILIAR DE ENFERMERIA</v>
          </cell>
        </row>
        <row r="197">
          <cell r="B197" t="str">
            <v>CABRERA PINARGOTE MARTHA BEATRIZ</v>
          </cell>
          <cell r="C197" t="str">
            <v>ASISTENTE DE TALENTO HUMANO</v>
          </cell>
        </row>
        <row r="198">
          <cell r="B198" t="str">
            <v>CADENA FIENCO MAURICIO ALEJANDRO</v>
          </cell>
          <cell r="C198" t="str">
            <v>MEDICO/A GENERAL EN FUNCIONES HOSPITALARIAS</v>
          </cell>
        </row>
        <row r="199">
          <cell r="B199" t="str">
            <v>CAICEDO PINARGOTE JIMMY JAVIER</v>
          </cell>
          <cell r="C199" t="str">
            <v>ASISTENTE DE ADMISIONES</v>
          </cell>
        </row>
        <row r="200">
          <cell r="B200" t="str">
            <v>CAJAPE DELGADO MELVIN RENE</v>
          </cell>
          <cell r="C200" t="str">
            <v>ASISTENTE DE ADMISIONES</v>
          </cell>
        </row>
        <row r="201">
          <cell r="B201" t="str">
            <v>CALDERERO ALCIVAR SCARLETT</v>
          </cell>
          <cell r="C201" t="str">
            <v>MEDICO/A GENERAL EN FUNCIONES HOSPITALARIAS</v>
          </cell>
        </row>
        <row r="202">
          <cell r="B202" t="str">
            <v>CALDERON MACIAS ANDRES IVAN</v>
          </cell>
          <cell r="C202" t="str">
            <v>ANALISTA DE SEGURIDAD Y SALUD OCUPACIONAL</v>
          </cell>
        </row>
        <row r="203">
          <cell r="B203" t="str">
            <v>CALDERON MENDIETA URBANO NARCISO</v>
          </cell>
          <cell r="C203" t="str">
            <v>AUXILIAR DE FARMACIA</v>
          </cell>
        </row>
        <row r="204">
          <cell r="B204" t="str">
            <v>CALDERON PICO KEVIN ALEXIS</v>
          </cell>
          <cell r="C204" t="str">
            <v>TECNOLOGO MEDICO DE IMAGENOLOGIA 2</v>
          </cell>
        </row>
        <row r="205">
          <cell r="B205" t="str">
            <v>CALDERON ZAMBRANO LISSETTE ALEXANDRA</v>
          </cell>
          <cell r="C205" t="str">
            <v>AUXILIAR DE LABORATORIO</v>
          </cell>
        </row>
        <row r="206">
          <cell r="B206" t="str">
            <v>CALERO PALMA CARLOS GABRIEL</v>
          </cell>
          <cell r="C206" t="str">
            <v>MEDICO/A ESPECIALISTA EN OTORRINOLARINGOLOGIA 1</v>
          </cell>
        </row>
        <row r="207">
          <cell r="B207" t="str">
            <v>CAMACHO ALARCON VIRGINIA SABINA</v>
          </cell>
          <cell r="C207" t="str">
            <v>MEDICO/A ESPECIALISTA EN ONCOLOGIA 1</v>
          </cell>
        </row>
        <row r="208">
          <cell r="B208" t="str">
            <v>CAMPOS MEDIAVILLA JOSE DANIEL</v>
          </cell>
          <cell r="C208" t="str">
            <v>ENFERMERO/A 5</v>
          </cell>
        </row>
        <row r="209">
          <cell r="B209" t="str">
            <v>CANDELARIO VERA GEMA ALEXANDRA</v>
          </cell>
          <cell r="C209" t="str">
            <v>ENFERMERO/A 3</v>
          </cell>
        </row>
        <row r="210">
          <cell r="B210" t="str">
            <v>CANO PARRAGA VIELKA AZUCENA</v>
          </cell>
          <cell r="C210" t="str">
            <v>ENFERMERO/A 3</v>
          </cell>
        </row>
        <row r="211">
          <cell r="B211" t="str">
            <v>CANTOS CANTOS DANNY ENRIQUE</v>
          </cell>
          <cell r="C211" t="str">
            <v>MEDICO/A ESPECIALISTA EN CIRUGIA GENERAL 1</v>
          </cell>
        </row>
        <row r="212">
          <cell r="B212" t="str">
            <v>CANTOS JALCA CAROLINA ELIZABETH</v>
          </cell>
          <cell r="C212" t="str">
            <v>TECNOLOGO MEDICO DE LABORATORIO 3</v>
          </cell>
        </row>
        <row r="213">
          <cell r="B213" t="str">
            <v>CARDENAS ALAVA MARIA ELIZABETH</v>
          </cell>
          <cell r="C213" t="str">
            <v>MEDICO/A ESPECIALISTA EN NEFROLOGIA 1</v>
          </cell>
        </row>
        <row r="214">
          <cell r="B214" t="str">
            <v>CARDENAS MENDOZA JAIME EDUARDO</v>
          </cell>
          <cell r="C214" t="str">
            <v>MEDICO/A ESPECIALISTA EN ALERGOLOGIA 1</v>
          </cell>
        </row>
        <row r="215">
          <cell r="B215" t="str">
            <v>CARDENAS TOALA EDISON ROLANDO</v>
          </cell>
          <cell r="C215" t="str">
            <v>MEDICO/A ESPECIALISTA EN PEDIATRIA 1</v>
          </cell>
        </row>
        <row r="216">
          <cell r="B216" t="str">
            <v>CARRANZA PITA MARIA BRIGGITTE</v>
          </cell>
          <cell r="C216" t="str">
            <v>ENFERMERO/A 3</v>
          </cell>
        </row>
        <row r="217">
          <cell r="B217" t="str">
            <v>CARRANZA ZAMBRANO ALEJANDRO ARTURO</v>
          </cell>
          <cell r="C217" t="str">
            <v>TECNOLOGO MEDICO DE REHABILITACION Y TERAPIA FISICA 2</v>
          </cell>
        </row>
        <row r="218">
          <cell r="B218" t="str">
            <v>CARRANZA ZAMBRANO JEAN PIER</v>
          </cell>
          <cell r="C218" t="str">
            <v>MEDICO/A GENERAL EN FUNCIONES HOSPITALARIAS</v>
          </cell>
        </row>
        <row r="219">
          <cell r="B219" t="str">
            <v>CARREÑO MERO VICENTE FABRICIO</v>
          </cell>
          <cell r="C219" t="str">
            <v>AUXILIAR ADMINISTRATIVO DE SALUD DEL SECTOR SALUD</v>
          </cell>
        </row>
        <row r="220">
          <cell r="B220" t="str">
            <v>CARREÑO VELEZ LUIS FELIPE</v>
          </cell>
          <cell r="C220" t="str">
            <v>ENFERMERO/A 3</v>
          </cell>
        </row>
        <row r="221">
          <cell r="B221" t="str">
            <v>CARREÑO VERA JOHNNY BEDER</v>
          </cell>
          <cell r="C221" t="str">
            <v>TECNOLOGO MEDICO DE IMAGENOLOGIA 2</v>
          </cell>
        </row>
        <row r="222">
          <cell r="B222" t="str">
            <v>CARRILLO MOLINA GENESIS MARIA</v>
          </cell>
          <cell r="C222" t="str">
            <v>MEDICO/A GENERAL EN FUNCIONES HOSPITALARIAS</v>
          </cell>
        </row>
        <row r="223">
          <cell r="B223" t="str">
            <v>CARRILLO QUIJIJE JOSSELYN EDITH</v>
          </cell>
          <cell r="C223" t="str">
            <v>ENFERMERO/A 3</v>
          </cell>
        </row>
        <row r="224">
          <cell r="B224" t="str">
            <v>CARRION CANO JAVIER GONZALO</v>
          </cell>
          <cell r="C224" t="str">
            <v>MEDICO/A GENERAL EN FUNCIONES HOSPITALARIAS</v>
          </cell>
        </row>
        <row r="225">
          <cell r="B225" t="str">
            <v>CARTUCHE ORDOÑEZ MARIELA DEL CARMEN</v>
          </cell>
          <cell r="C225" t="str">
            <v>MEDICO/A ESPECIALISTA EN EMERGENCIAS Y DESASTRES 1</v>
          </cell>
        </row>
        <row r="226">
          <cell r="B226" t="str">
            <v>CARVAJAL BALLESTEROS MAURICIO ALEJANDRO</v>
          </cell>
          <cell r="C226" t="str">
            <v>MEDICO/A GENERAL EN FUNCIONES HOSPITALARIAS</v>
          </cell>
        </row>
        <row r="227">
          <cell r="B227" t="str">
            <v>CASANOVA GARCIA YADIRA PATRICIA</v>
          </cell>
          <cell r="C227" t="str">
            <v>MEDICO/A ESPECIALISTA EN ANESTESIOLOGIA 1</v>
          </cell>
        </row>
        <row r="228">
          <cell r="B228" t="str">
            <v>CASTAÑEDA GOROZABEL FABRICIO MIGUEL</v>
          </cell>
          <cell r="C228" t="str">
            <v>AUXILIAR DE FARMACIA</v>
          </cell>
        </row>
        <row r="229">
          <cell r="B229" t="str">
            <v>CASTELLO GUTIERREZ LILIAN MARIUXI</v>
          </cell>
          <cell r="C229" t="str">
            <v>TECNOLOGO MEDICO DE REHABILITACION Y TERAPIA FISICA 2</v>
          </cell>
        </row>
        <row r="230">
          <cell r="B230" t="str">
            <v>CASTILLO AYON KAROL ROSALIA</v>
          </cell>
          <cell r="C230" t="str">
            <v>ENFERMERO/A 3</v>
          </cell>
        </row>
        <row r="231">
          <cell r="B231" t="str">
            <v>CASTILLO DIEZ ELISA</v>
          </cell>
          <cell r="C231" t="str">
            <v>TERAPISTA DE PSICOREHABILITACION 1</v>
          </cell>
        </row>
        <row r="232">
          <cell r="B232" t="str">
            <v>CASTILLO MURILLO YURY ERNESTO</v>
          </cell>
          <cell r="C232" t="str">
            <v>LABORATORISTA CLINICO 1</v>
          </cell>
        </row>
        <row r="233">
          <cell r="B233" t="str">
            <v>CASTILLO SALTOS GEMA DIANA</v>
          </cell>
          <cell r="C233" t="str">
            <v>ENFERMERO/A 3</v>
          </cell>
        </row>
        <row r="234">
          <cell r="B234" t="str">
            <v>CASTILLO SALTOS VICTOR MANUEL</v>
          </cell>
          <cell r="C234" t="str">
            <v>MEDICO/A GENERAL EN FUNCIONES HOSPITALARIAS</v>
          </cell>
        </row>
        <row r="235">
          <cell r="B235" t="str">
            <v>CASTILLO SUAREZ PAMELA LISSETTE</v>
          </cell>
          <cell r="C235" t="str">
            <v>QUIMICO / BIOQUIMICO FARMACEUTICO 1</v>
          </cell>
        </row>
        <row r="236">
          <cell r="B236" t="str">
            <v>CASTRO ALCIVAR RICHARD ALEJANDRO</v>
          </cell>
          <cell r="C236" t="str">
            <v>ENFERMERO/A 3</v>
          </cell>
        </row>
        <row r="237">
          <cell r="B237" t="str">
            <v>CASTRO ARGANDOÑA NATHALY GEMA</v>
          </cell>
          <cell r="C237" t="str">
            <v>AUXILIAR DE ENFERMERIA</v>
          </cell>
        </row>
        <row r="238">
          <cell r="B238" t="str">
            <v>CASTRO CEDEÑO KATIUSKA MAYIYA</v>
          </cell>
          <cell r="C238" t="str">
            <v>AUXILIAR DE ENFERMERIA</v>
          </cell>
        </row>
        <row r="239">
          <cell r="B239" t="str">
            <v>CASTRO GARCIA MARIA JOSE</v>
          </cell>
          <cell r="C239" t="str">
            <v>AUXILIAR DE LABORATORIO</v>
          </cell>
        </row>
        <row r="240">
          <cell r="B240" t="str">
            <v>CASTRO LUCAS JOSE DANIEL</v>
          </cell>
          <cell r="C240" t="str">
            <v>TECNICO DE MANTENIMIENTO</v>
          </cell>
        </row>
        <row r="241">
          <cell r="B241" t="str">
            <v>CASTRO LUNA XAVIER FRANCOIS</v>
          </cell>
          <cell r="C241" t="str">
            <v>AUXILIAR DE ENFERMERIA</v>
          </cell>
        </row>
        <row r="242">
          <cell r="B242" t="str">
            <v>CASTRO MARMOLEJO ALDRIN JUNIOR</v>
          </cell>
          <cell r="C242" t="str">
            <v>MEDICO/A GENERAL EN FUNCIONES HOSPITALARIAS</v>
          </cell>
        </row>
        <row r="243">
          <cell r="B243" t="str">
            <v>CASTRO VERA ELIEL EMANUEL</v>
          </cell>
          <cell r="C243" t="str">
            <v>TECNOLOGO MEDICO DE REHABILITACION Y TERAPIA FISICA 2</v>
          </cell>
        </row>
        <row r="244">
          <cell r="B244" t="str">
            <v>CASTRO ZAMBRANO NINOSKA MARISEL</v>
          </cell>
          <cell r="C244" t="str">
            <v>ENFERMERO/A 3</v>
          </cell>
        </row>
        <row r="245">
          <cell r="B245" t="str">
            <v>CATAGUA MOREIRA JANDRY EMILIO</v>
          </cell>
          <cell r="C245" t="str">
            <v>AUXILIAR DE ENFERMERIA</v>
          </cell>
        </row>
        <row r="246">
          <cell r="B246" t="str">
            <v>CEDEÑO ANDRADE ANGEL RICARDO</v>
          </cell>
          <cell r="C246" t="str">
            <v>ENFERMERO/A 3</v>
          </cell>
        </row>
        <row r="247">
          <cell r="B247" t="str">
            <v>CEDEÑO ANDRADE FRANKLIN JAVIER</v>
          </cell>
          <cell r="C247" t="str">
            <v>TECNOLOGO MEDICO DE REHABILITACION Y TERAPIA FISICA 1</v>
          </cell>
        </row>
        <row r="248">
          <cell r="B248" t="str">
            <v>CEDEÑO ARTEAGA MERCEDES ELIZABETH</v>
          </cell>
          <cell r="C248" t="str">
            <v>ENFERMERO/A 3</v>
          </cell>
        </row>
        <row r="249">
          <cell r="B249" t="str">
            <v>CEDEÑO BARBERAN CARMEN MARIELA</v>
          </cell>
          <cell r="C249" t="str">
            <v>AUXILIAR DE ENFERMERIA</v>
          </cell>
        </row>
        <row r="250">
          <cell r="B250" t="str">
            <v>CEDEÑO BARBERAN CLAUDIA MARICELA</v>
          </cell>
          <cell r="C250" t="str">
            <v>ENFERMERO/A 6</v>
          </cell>
        </row>
        <row r="251">
          <cell r="B251" t="str">
            <v>CEDEÑO BRAVO KARINA ALEXANDRA</v>
          </cell>
          <cell r="C251" t="str">
            <v>ENFERMERO/A 3</v>
          </cell>
        </row>
        <row r="252">
          <cell r="B252" t="str">
            <v>CEDEÑO BUSTAMANTE JUAN PABLO</v>
          </cell>
          <cell r="C252" t="str">
            <v>ANALISTA DE ADMISIONES</v>
          </cell>
        </row>
        <row r="253">
          <cell r="B253" t="str">
            <v>CEDEÑO CALERO CINDY MICHELLE</v>
          </cell>
          <cell r="C253" t="str">
            <v>MEDICO/A ESPECIALISTA EN GASTROENTEROLOGIA 1</v>
          </cell>
        </row>
        <row r="254">
          <cell r="B254" t="str">
            <v>CEDEÑO CASTRO XIMENA XEOMARA</v>
          </cell>
          <cell r="C254" t="str">
            <v>AUXILIAR DE FARMACIA</v>
          </cell>
        </row>
        <row r="255">
          <cell r="B255" t="str">
            <v>CEDEÑO CEDEÑO CARLOS GREGORIO</v>
          </cell>
          <cell r="C255" t="str">
            <v>AUXILIAR ADMINISTRATIVO DE SALUD DEL SECTOR SALUD</v>
          </cell>
        </row>
        <row r="256">
          <cell r="B256" t="str">
            <v>CEDEÑO CEDEÑO ELIGIO GERMAN</v>
          </cell>
          <cell r="C256" t="str">
            <v>AUXILIAR ADMINISTRATIVO DE SALUD DEL SECTOR SALUD</v>
          </cell>
        </row>
        <row r="257">
          <cell r="B257" t="str">
            <v>CEDEÑO CEDEÑO FREDDY IVAN</v>
          </cell>
          <cell r="C257" t="str">
            <v>TERAPISTA OCUPACIONAL</v>
          </cell>
        </row>
        <row r="258">
          <cell r="B258" t="str">
            <v>CEDEÑO CEDEÑO MAYLIN MICHELLE</v>
          </cell>
          <cell r="C258" t="str">
            <v>MEDICO/A GENERAL EN FUNCIONES HOSPITALARIAS</v>
          </cell>
        </row>
        <row r="259">
          <cell r="B259" t="str">
            <v>CEDEÑO CEDEÑO YURY NICOLAI</v>
          </cell>
          <cell r="C259" t="str">
            <v>MEDICO/A ESPECIALISTA EN NEUROLOGIA 1</v>
          </cell>
        </row>
        <row r="260">
          <cell r="B260" t="str">
            <v>CEDEÑO CEVALLOS DENISSE LISSETTE</v>
          </cell>
          <cell r="C260" t="str">
            <v>MEDICO/A GENERAL EN FUNCIONES HOSPITALARIAS</v>
          </cell>
        </row>
        <row r="261">
          <cell r="B261" t="str">
            <v>CEDEÑO CUZME GENESIS ESTEFANIA</v>
          </cell>
          <cell r="C261" t="str">
            <v>ENFERMERO/A 3</v>
          </cell>
        </row>
        <row r="262">
          <cell r="B262" t="str">
            <v>CEDEÑO FERNANDEZ MELBA ALEXANDRA</v>
          </cell>
          <cell r="C262" t="str">
            <v>ENFERMERO/A 3</v>
          </cell>
        </row>
        <row r="263">
          <cell r="B263" t="str">
            <v>CEDEÑO FLORES FELIX PATRICIO</v>
          </cell>
          <cell r="C263" t="str">
            <v>MEDICO/A GENERAL EN FUNCIONES HOSPITALARIAS</v>
          </cell>
        </row>
        <row r="264">
          <cell r="B264" t="str">
            <v>CEDEÑO GARCIA GEMA MARGARITA</v>
          </cell>
          <cell r="C264" t="str">
            <v>ENFERMERO/A 3</v>
          </cell>
        </row>
        <row r="265">
          <cell r="B265" t="str">
            <v>CEDEÑO GARCIA MARIA ALEJANDRA</v>
          </cell>
          <cell r="C265" t="str">
            <v>MEDICO/A ESPECIALISTA EN GERIATRIA 1</v>
          </cell>
          <cell r="D265" t="str">
            <v>RESP. SERV. MEDICINA INTERNA</v>
          </cell>
        </row>
        <row r="266">
          <cell r="B266" t="str">
            <v>CEDEÑO GOMEZ LILIANA DEL ROCIO</v>
          </cell>
          <cell r="C266" t="str">
            <v>QUIMICO / BIOQUIMICO FARMACEUTICO 1</v>
          </cell>
        </row>
        <row r="267">
          <cell r="B267" t="str">
            <v>CEDEÑO GUEVARA SILVIO LEONARDO</v>
          </cell>
          <cell r="C267" t="str">
            <v>MEDICO/A ESPECIALISTA EN CUIDADOS INTENSIVOS 1</v>
          </cell>
        </row>
        <row r="268">
          <cell r="B268" t="str">
            <v>CEDEÑO INTRIAGO HIPATIA YASMINA</v>
          </cell>
          <cell r="C268" t="str">
            <v>ANALISTA DE ADQUISICIONES 1</v>
          </cell>
        </row>
        <row r="269">
          <cell r="B269" t="str">
            <v>CEDEÑO LOOR JERSSON JAIR</v>
          </cell>
          <cell r="C269" t="str">
            <v>AUXILIAR DE ENFERMERIA</v>
          </cell>
        </row>
        <row r="270">
          <cell r="B270" t="str">
            <v>CEDEÑO MACIAS TATIANA PAOLA</v>
          </cell>
          <cell r="C270" t="str">
            <v>MEDICO/A ESPECIALISTA EN DERMATOLOGIA 1</v>
          </cell>
        </row>
        <row r="271">
          <cell r="B271" t="str">
            <v>CEDEÑO MENDOZA EVELYN ISABEL</v>
          </cell>
          <cell r="C271" t="str">
            <v>MEDICO/A GENERAL EN FUNCIONES HOSPITALARIAS</v>
          </cell>
        </row>
        <row r="272">
          <cell r="B272" t="str">
            <v>CEDEÑO MENDOZA KASSANDRA NARCISA</v>
          </cell>
          <cell r="C272" t="str">
            <v>MEDICO/A GENERAL EN FUNCIONES HOSPITALARIAS</v>
          </cell>
        </row>
        <row r="273">
          <cell r="B273" t="str">
            <v>CEDEÑO MERA BETSY YALITZA</v>
          </cell>
          <cell r="C273" t="str">
            <v>AUXILIAR DE ENFERMERIA</v>
          </cell>
        </row>
        <row r="274">
          <cell r="B274" t="str">
            <v>CEDEÑO MERA DIANA MICHEL</v>
          </cell>
          <cell r="C274" t="str">
            <v>ENFERMERO/A 3</v>
          </cell>
        </row>
        <row r="275">
          <cell r="B275" t="str">
            <v>CEDEÑO MIELES KIMBERLY ELIZABETH</v>
          </cell>
          <cell r="C275" t="str">
            <v>ENFERMERO/A 3</v>
          </cell>
        </row>
        <row r="276">
          <cell r="B276" t="str">
            <v>CEDEÑO MOREIRA MANUEL VINICIO</v>
          </cell>
          <cell r="C276" t="str">
            <v>LABORATORISTA CLINICO 1</v>
          </cell>
        </row>
        <row r="277">
          <cell r="B277" t="str">
            <v>CEDEÑO NAVARRETE JOSSELYN DAYANA</v>
          </cell>
          <cell r="C277" t="str">
            <v>ENFERMERO/A 3</v>
          </cell>
        </row>
        <row r="278">
          <cell r="B278" t="str">
            <v>CEDEÑO PARRAGA MARIA VIRGINIA</v>
          </cell>
          <cell r="C278" t="str">
            <v>MEDICO/A ESPECIALISTA EN MEDICINA FISICA Y REHABILITACION 1</v>
          </cell>
        </row>
        <row r="279">
          <cell r="B279" t="str">
            <v>CEDEÑO PARRAGA STEPHANY DAYANARA</v>
          </cell>
          <cell r="C279" t="str">
            <v>PSICOLOGO/A CLINICO/A  1</v>
          </cell>
        </row>
        <row r="280">
          <cell r="B280" t="str">
            <v>CEDEÑO PONCE HENRY NELSON</v>
          </cell>
          <cell r="C280" t="str">
            <v>TECNICO DE MANTENIMIENTO</v>
          </cell>
        </row>
        <row r="281">
          <cell r="B281" t="str">
            <v>CEDEÑO QUIJIJE YESENIA GUADALUPE</v>
          </cell>
          <cell r="C281" t="str">
            <v>ENFERMERO/A 6</v>
          </cell>
        </row>
        <row r="282">
          <cell r="B282" t="str">
            <v>CEDEÑO ROLDAN TONY ROLANDO</v>
          </cell>
          <cell r="C282" t="str">
            <v>ANALISTA DE COMUNICACION 3</v>
          </cell>
        </row>
        <row r="283">
          <cell r="B283" t="str">
            <v>CEDEÑO SANCHEZ LAURA ALEXANDRA</v>
          </cell>
          <cell r="C283" t="str">
            <v>MEDICO/A ESPECIALISTA EN CUIDADOS INTENSIVOS 1</v>
          </cell>
        </row>
        <row r="284">
          <cell r="B284" t="str">
            <v>CEDEÑO SANCHEZ YESI YAQUELINE</v>
          </cell>
          <cell r="C284" t="str">
            <v>ENFERMERO/A 3</v>
          </cell>
        </row>
        <row r="285">
          <cell r="B285" t="str">
            <v>CEDEÑO SOLORZANO ANA LUCIA</v>
          </cell>
          <cell r="C285" t="str">
            <v>TECNOLOGO MEDICO DE LABORATORIO 3</v>
          </cell>
        </row>
        <row r="286">
          <cell r="B286" t="str">
            <v>CEDEÑO TEJENA MARIA FERNANDA</v>
          </cell>
          <cell r="C286" t="str">
            <v>ENFERMERO/A 3</v>
          </cell>
        </row>
        <row r="287">
          <cell r="B287" t="str">
            <v>CEDEÑO VELEZ RICARDO ANDRES</v>
          </cell>
          <cell r="C287" t="str">
            <v>TECNOLOGO MEDICO DE REHABILITACION Y TERAPIA FISICA 3</v>
          </cell>
        </row>
        <row r="288">
          <cell r="B288" t="str">
            <v>CEDEÑO VERA JEAN PIERRE</v>
          </cell>
          <cell r="C288" t="str">
            <v>TECNOLOGO MEDICO DE IMAGENOLOGIA 2</v>
          </cell>
        </row>
        <row r="289">
          <cell r="B289" t="str">
            <v>CEDEÑO VINCES HAMILTON BENIGNO</v>
          </cell>
          <cell r="C289" t="str">
            <v>MEDICO/A ESPECIALISTA EN PSIQUIATRIA 1</v>
          </cell>
        </row>
        <row r="290">
          <cell r="B290" t="str">
            <v>CEDEÑO ZAMBRANO GEMA MONSERRATE</v>
          </cell>
          <cell r="C290" t="str">
            <v>ENFERMERO/A 3</v>
          </cell>
        </row>
        <row r="291">
          <cell r="B291" t="str">
            <v>CEDEÑO ZAMBRANO ZAYDA VICTORIA</v>
          </cell>
          <cell r="C291" t="str">
            <v>MEDICO/A GENERAL EN FUNCIONES HOSPITALARIAS</v>
          </cell>
        </row>
        <row r="292">
          <cell r="B292" t="str">
            <v>CEDILLO HERAS ROCIO JACQUELINE</v>
          </cell>
          <cell r="C292" t="str">
            <v>QUIMICO / BIOQUIMICO FARMACEUTICO 1</v>
          </cell>
        </row>
        <row r="293">
          <cell r="B293" t="str">
            <v>CENTENO URETA SILVIA JOHANA</v>
          </cell>
          <cell r="C293" t="str">
            <v>ENFERMERO/A 3</v>
          </cell>
        </row>
        <row r="294">
          <cell r="B294" t="str">
            <v>CERCADO CEDEÑO GINGER KAROLINA</v>
          </cell>
          <cell r="C294" t="str">
            <v>ENFERMERO/A 3</v>
          </cell>
        </row>
        <row r="295">
          <cell r="B295" t="str">
            <v>CERON SANTANA BLANCA MARGARITA</v>
          </cell>
          <cell r="C295" t="str">
            <v>ENFERMERO/A 3</v>
          </cell>
        </row>
        <row r="296">
          <cell r="B296" t="str">
            <v>CEVALLOS ANDRADE XAVIER ALEJANDRO</v>
          </cell>
          <cell r="C296" t="str">
            <v>ENFERMERO/A 3</v>
          </cell>
        </row>
        <row r="297">
          <cell r="B297" t="str">
            <v>CEVALLOS BOWEN KARINA VIVIANA</v>
          </cell>
          <cell r="C297" t="str">
            <v>MEDICO/A GENERAL EN FUNCIONES HOSPITALARIAS</v>
          </cell>
        </row>
        <row r="298">
          <cell r="B298" t="str">
            <v>CEVALLOS FLORES JENNIFER KATIUSKA</v>
          </cell>
          <cell r="C298" t="str">
            <v>MEDICO/A GENERAL EN FUNCIONES HOSPITALARIAS</v>
          </cell>
        </row>
        <row r="299">
          <cell r="B299" t="str">
            <v>CEVALLOS GARCIA CRISTHIAN GUSTAVO</v>
          </cell>
          <cell r="C299" t="str">
            <v>MEDICO/A GENERAL EN FUNCIONES HOSPITALARIAS</v>
          </cell>
        </row>
        <row r="300">
          <cell r="B300" t="str">
            <v>CEVALLOS LOOR JESSENIA PIERINA</v>
          </cell>
          <cell r="C300" t="str">
            <v>MEDICO/A GENERAL EN FUNCIONES HOSPITALARIAS</v>
          </cell>
        </row>
        <row r="301">
          <cell r="B301" t="str">
            <v>CEVALLOS MACIAS IRIS GALICIA</v>
          </cell>
          <cell r="C301" t="str">
            <v>MEDICO/A GENERAL EN FUNCIONES HOSPITALARIAS</v>
          </cell>
        </row>
        <row r="302">
          <cell r="B302" t="str">
            <v>CEVALLOS MENDOZA GEMA MONSERRATE</v>
          </cell>
          <cell r="C302" t="str">
            <v>ENFERMERO/A 3</v>
          </cell>
        </row>
        <row r="303">
          <cell r="B303" t="str">
            <v>CEVALLOS MENDOZA MONICA JULIANA</v>
          </cell>
          <cell r="C303" t="str">
            <v>MEDICO/A ESPECIALISTA EN CUIDADOS INTENSIVOS 1</v>
          </cell>
        </row>
        <row r="304">
          <cell r="B304" t="str">
            <v>CEVALLOS MENENDEZ CARLOS XAVIER</v>
          </cell>
          <cell r="C304" t="str">
            <v>AUXILIAR ADMINISTRATIVO DE SALUD DEL SECTOR SALUD</v>
          </cell>
        </row>
        <row r="305">
          <cell r="B305" t="str">
            <v>CEVALLOS MOLINA RENATO SAMUEL</v>
          </cell>
          <cell r="C305" t="str">
            <v>MEDICO/A SUBESPECIALISTA EN CIRUGIA PEDIATRICA</v>
          </cell>
        </row>
        <row r="306">
          <cell r="B306" t="str">
            <v>CEVALLOS MORENO XIMENA INES</v>
          </cell>
          <cell r="C306" t="str">
            <v>ENFERMERO/A 3</v>
          </cell>
        </row>
        <row r="307">
          <cell r="B307" t="str">
            <v>CEVALLOS NAVARRETE SELENA ANNABELL</v>
          </cell>
          <cell r="C307" t="str">
            <v>ENFERMERO/A 3</v>
          </cell>
        </row>
        <row r="308">
          <cell r="B308" t="str">
            <v>CEVALLOS OCHOA DARWIN ALEJANDRO</v>
          </cell>
          <cell r="C308" t="str">
            <v>LABORATORISTA CLINICO 1</v>
          </cell>
        </row>
        <row r="309">
          <cell r="B309" t="str">
            <v>CEVALLOS PINCAY JUAN CARLOS</v>
          </cell>
          <cell r="C309" t="str">
            <v>ENFERMERO/A 3</v>
          </cell>
        </row>
        <row r="310">
          <cell r="B310" t="str">
            <v>CEVALLOS PINOARGOTE ROSA VIRGINIA</v>
          </cell>
          <cell r="C310" t="str">
            <v>ENFERMERO/A 3</v>
          </cell>
        </row>
        <row r="311">
          <cell r="B311" t="str">
            <v>CEVALLOS RIVADENEIRA JAVIER LEONEL</v>
          </cell>
          <cell r="C311" t="str">
            <v>AUXILIAR ADMINISTRATIVO DE SALUD DEL SECTOR SALUD</v>
          </cell>
        </row>
        <row r="312">
          <cell r="B312" t="str">
            <v>CEVALLOS SALTOS GEMA JESSENIA</v>
          </cell>
          <cell r="C312" t="str">
            <v>ENFERMERO/A 3</v>
          </cell>
        </row>
        <row r="313">
          <cell r="B313" t="str">
            <v>CEVALLOS TRONCOZO CECILIA MONSERRATE</v>
          </cell>
          <cell r="C313" t="str">
            <v>AUXILIAR DE ENFERMERIA</v>
          </cell>
        </row>
        <row r="314">
          <cell r="B314" t="str">
            <v>CEVALLOS VILLACRESES GEMA CAROLINA</v>
          </cell>
          <cell r="C314" t="str">
            <v>ENFERMERO/A 3</v>
          </cell>
        </row>
        <row r="315">
          <cell r="B315" t="str">
            <v>CEVALLOS VINCES AURIS MARIA</v>
          </cell>
          <cell r="C315" t="str">
            <v>ENFERMERO/A 3</v>
          </cell>
        </row>
        <row r="316">
          <cell r="B316" t="str">
            <v>CEVALLOS ZAMBRANO DIANA CAROLINA</v>
          </cell>
          <cell r="C316" t="str">
            <v>ENFERMERO/A 3</v>
          </cell>
        </row>
        <row r="317">
          <cell r="B317" t="str">
            <v>CHANCAY LOPEZ ARANTXA MAGDALENA</v>
          </cell>
          <cell r="C317" t="str">
            <v>MEDICO/A GENERAL EN FUNCIONES HOSPITALARIAS</v>
          </cell>
        </row>
        <row r="318">
          <cell r="B318" t="str">
            <v>CHANCAY MARCILLO LADY MAENA</v>
          </cell>
          <cell r="C318" t="str">
            <v>ENFERMERO/A 3</v>
          </cell>
        </row>
        <row r="319">
          <cell r="B319" t="str">
            <v>CHANCAY MORENO ALBA MONSERRATE</v>
          </cell>
          <cell r="C319" t="str">
            <v>AUXILIAR DE ENFERMERIA</v>
          </cell>
        </row>
        <row r="320">
          <cell r="B320" t="str">
            <v>CHAVEZ ANDRADE CRISTIAN FERNANDO</v>
          </cell>
          <cell r="C320" t="str">
            <v>ANALISTA HIDROSANITARIO</v>
          </cell>
        </row>
        <row r="321">
          <cell r="B321" t="str">
            <v>CHAVEZ AREVALO ANA ISABEL</v>
          </cell>
          <cell r="C321" t="str">
            <v>MEDICO/A GENERAL EN FUNCIONES HOSPITALARIAS</v>
          </cell>
        </row>
        <row r="322">
          <cell r="B322" t="str">
            <v>CHAVEZ AREVALO PEDRO PABLO</v>
          </cell>
          <cell r="C322" t="str">
            <v>TECNOLOGO MEDICO DE MEDICINA TRANSFUSIONAL 3</v>
          </cell>
        </row>
        <row r="323">
          <cell r="B323" t="str">
            <v>CHAVEZ CEDEÑO ZULAY MIREYA</v>
          </cell>
          <cell r="C323" t="str">
            <v>LABORATORISTA CLINICO 1</v>
          </cell>
        </row>
        <row r="324">
          <cell r="B324" t="str">
            <v>CHAVEZ DELGADO EGDA ELIZABETH</v>
          </cell>
          <cell r="C324" t="str">
            <v>ENFERMERO/A 3</v>
          </cell>
        </row>
        <row r="325">
          <cell r="B325" t="str">
            <v>CHAVEZ MACIAS FLOR MARIA</v>
          </cell>
          <cell r="C325" t="str">
            <v>AUXILIAR DE ENFERMERIA</v>
          </cell>
        </row>
        <row r="326">
          <cell r="B326" t="str">
            <v>CHAVEZ MOLINA NICOLE STEFANIA</v>
          </cell>
          <cell r="C326" t="str">
            <v>ENFERMERO/A 3</v>
          </cell>
        </row>
        <row r="327">
          <cell r="B327" t="str">
            <v>CHAVEZ PONCE LEONARDO XAVIER</v>
          </cell>
          <cell r="C327" t="str">
            <v>AUXILIAR DE ENFERMERIA</v>
          </cell>
        </row>
        <row r="328">
          <cell r="B328" t="str">
            <v>CHAVEZ ROSADO ERIKA JOHANNA</v>
          </cell>
          <cell r="C328" t="str">
            <v>ENFERMERO/A 3</v>
          </cell>
        </row>
        <row r="329">
          <cell r="B329" t="str">
            <v>CHAVEZ RUIZ JORGE EDUARDO</v>
          </cell>
          <cell r="C329" t="str">
            <v>ANALISTA DE PRESUPUESTO 1</v>
          </cell>
        </row>
        <row r="330">
          <cell r="B330" t="str">
            <v>CHAVEZ RUIZ MARIA LISBETH</v>
          </cell>
          <cell r="C330" t="str">
            <v>ENFERMERO/A 3</v>
          </cell>
        </row>
        <row r="331">
          <cell r="B331" t="str">
            <v>CHAVEZ SANCHEZ FLOR DANILA</v>
          </cell>
          <cell r="C331" t="str">
            <v>ENFERMERO/A 3</v>
          </cell>
        </row>
        <row r="332">
          <cell r="B332" t="str">
            <v>CHAVEZ SANCHEZ JOSE ADRIAN</v>
          </cell>
          <cell r="C332" t="str">
            <v>ENFERMERO/A 3</v>
          </cell>
        </row>
        <row r="333">
          <cell r="B333" t="str">
            <v>CHICA BARBERAN VERONICA YULIANA</v>
          </cell>
          <cell r="C333" t="str">
            <v>MEDICO/A GENERAL EN FUNCIONES HOSPITALARIAS</v>
          </cell>
        </row>
        <row r="334">
          <cell r="B334" t="str">
            <v>CHICA HERNANDEZ JOSE VINICIO</v>
          </cell>
          <cell r="C334" t="str">
            <v>ENFERMERO/A 3</v>
          </cell>
        </row>
        <row r="335">
          <cell r="B335" t="str">
            <v>CHICA SANTOS ZORAIDA NATIVIDAD</v>
          </cell>
          <cell r="C335" t="str">
            <v>AUXILIAR DE ENFERMERIA</v>
          </cell>
        </row>
        <row r="336">
          <cell r="B336" t="str">
            <v>CHILAN CEDEÑO FLOR MARIA</v>
          </cell>
          <cell r="C336" t="str">
            <v>ENFERMERO/A 3</v>
          </cell>
        </row>
        <row r="337">
          <cell r="B337" t="str">
            <v>CHILIQUINGA VASQUEZ ANA PATRICIA</v>
          </cell>
          <cell r="C337" t="str">
            <v>ENFERMERO/A 3</v>
          </cell>
        </row>
        <row r="338">
          <cell r="B338" t="str">
            <v>CHINGA MERA JOMIRA JAMILEXI</v>
          </cell>
          <cell r="C338" t="str">
            <v>LABORATORISTA CLINICO 1</v>
          </cell>
        </row>
        <row r="339">
          <cell r="B339" t="str">
            <v>CHIRIBOGA ROBLES ALANA YOKASSTA</v>
          </cell>
          <cell r="C339" t="str">
            <v>MEDICO/A GENERAL EN FUNCIONES HOSPITALARIAS</v>
          </cell>
        </row>
        <row r="340">
          <cell r="B340" t="str">
            <v>CHOEZ COELLO KLEBER JOSE</v>
          </cell>
          <cell r="C340" t="str">
            <v>ENFERMERO/A 3</v>
          </cell>
        </row>
        <row r="341">
          <cell r="B341" t="str">
            <v>CHOEZ DELGADO VICTOR XAVIER</v>
          </cell>
          <cell r="C341" t="str">
            <v>MEDICO/A ESPECIALISTA EN PEDIATRIA 1</v>
          </cell>
        </row>
        <row r="342">
          <cell r="B342" t="str">
            <v>CHOEZ GONZALEZ CESAR AUGUSTO</v>
          </cell>
          <cell r="C342" t="str">
            <v>ENFERMERO/A 3</v>
          </cell>
        </row>
        <row r="343">
          <cell r="B343" t="str">
            <v>CHOEZ PARRALES JOCELYN IVETTE</v>
          </cell>
          <cell r="C343" t="str">
            <v>MEDICO/A GENERAL EN FUNCIONES HOSPITALARIAS</v>
          </cell>
        </row>
        <row r="344">
          <cell r="B344" t="str">
            <v>CHOEZ ZAMBRANO ANA MARIA</v>
          </cell>
          <cell r="C344" t="str">
            <v>ENFERMERO/A 3</v>
          </cell>
        </row>
        <row r="345">
          <cell r="B345" t="str">
            <v>CHONG MANZANO SUSAN STEPHANY</v>
          </cell>
          <cell r="C345" t="str">
            <v>ENFERMERO/A 3</v>
          </cell>
        </row>
        <row r="346">
          <cell r="B346" t="str">
            <v>COBEÑA ARCE LESTHER FATIMA</v>
          </cell>
          <cell r="C346" t="str">
            <v>MEDICO/A ESPECIALISTA EN PEDIATRIA 1</v>
          </cell>
        </row>
        <row r="347">
          <cell r="B347" t="str">
            <v>COBEÑA CEDEÑO WILSON IVAN</v>
          </cell>
          <cell r="C347" t="str">
            <v>ENFERMERO/A 3</v>
          </cell>
        </row>
        <row r="348">
          <cell r="B348" t="str">
            <v>COBEÑA INTRIAGO MARCELA ELIZABETH</v>
          </cell>
          <cell r="C348" t="str">
            <v>MEDICO/A SUBESPECIALISTA EN CUIDADOS INTENSIVOS PEDIATRICOS</v>
          </cell>
        </row>
        <row r="349">
          <cell r="B349" t="str">
            <v>COBEÑA SOLIZ JOSE ENRIQUE</v>
          </cell>
          <cell r="C349" t="str">
            <v>LABORATORISTA CLINICO 1</v>
          </cell>
        </row>
        <row r="350">
          <cell r="B350" t="str">
            <v>COBEÑA ZAMBRANO JOSE FABIAN</v>
          </cell>
          <cell r="C350" t="str">
            <v>AUXILIAR DE ENFERMERIA</v>
          </cell>
        </row>
        <row r="351">
          <cell r="B351" t="str">
            <v>COELLO NAVIA MARTHA MONSERRATE</v>
          </cell>
          <cell r="C351" t="str">
            <v>AUXILIAR DE ENFERMERIA</v>
          </cell>
        </row>
        <row r="352">
          <cell r="B352" t="str">
            <v>CONFORME CASTRO JENNIFER GUADALUPE</v>
          </cell>
          <cell r="C352" t="str">
            <v>ENFERMERO/A 3</v>
          </cell>
        </row>
        <row r="353">
          <cell r="B353" t="str">
            <v>CONFORME MACIAS ERIKA JACKELINE</v>
          </cell>
          <cell r="C353" t="str">
            <v>TECNOLOGO MEDICO DE MEDICINA TRANSFUSIONAL 3</v>
          </cell>
        </row>
        <row r="354">
          <cell r="B354" t="str">
            <v>CONSTANTE QUIJIJE MAYKOL ALEJANDRO</v>
          </cell>
          <cell r="C354" t="str">
            <v>MEDICO/A GENERAL EN FUNCIONES HOSPITALARIAS</v>
          </cell>
        </row>
        <row r="355">
          <cell r="B355" t="str">
            <v>CORDERO MUÑOZ MIGUEL ALBERTO</v>
          </cell>
          <cell r="C355" t="str">
            <v>MEDICO/A SUBESPECIALISTA EN COLOPROCTOLOGIA</v>
          </cell>
        </row>
        <row r="356">
          <cell r="B356" t="str">
            <v>CORNEJO LAGO SILVIA LILIANA</v>
          </cell>
          <cell r="C356" t="str">
            <v>MEDICO/A GENERAL EN FUNCIONES HOSPITALARIAS</v>
          </cell>
        </row>
        <row r="357">
          <cell r="B357" t="str">
            <v>CORNEJO ZAMBRANO GISSELLY STEFANY</v>
          </cell>
          <cell r="C357" t="str">
            <v>ENFERMERO/A 3</v>
          </cell>
        </row>
        <row r="358">
          <cell r="B358" t="str">
            <v>CORTEZ ZAMBRANO CARLOS ROMELL</v>
          </cell>
          <cell r="C358" t="str">
            <v>MEDICO/A GENERAL EN FUNCIONES HOSPITALARIAS</v>
          </cell>
        </row>
        <row r="359">
          <cell r="B359" t="str">
            <v>COVEÑA BRAVO MARIA ISABEL</v>
          </cell>
          <cell r="C359" t="str">
            <v>ENFERMERO/A 3</v>
          </cell>
        </row>
        <row r="360">
          <cell r="B360" t="str">
            <v>CRUZ LAVAYEN JANINA VANESSA</v>
          </cell>
          <cell r="C360" t="str">
            <v>MEDICO/A ESPECIALISTA EN GERIATRIA 1</v>
          </cell>
        </row>
        <row r="361">
          <cell r="B361" t="str">
            <v>CRUZATTY ROMERO GEMA CARMEN</v>
          </cell>
          <cell r="C361" t="str">
            <v>ENFERMERO/A 3</v>
          </cell>
          <cell r="D361" t="str">
            <v>RESP. SERV. MEDICINA INTERNA</v>
          </cell>
        </row>
        <row r="362">
          <cell r="B362" t="str">
            <v>CUADROS GOMEZ LUIS ALBERTO</v>
          </cell>
          <cell r="C362" t="str">
            <v>AUXILIAR DE ENFERMERIA</v>
          </cell>
        </row>
        <row r="363">
          <cell r="B363" t="str">
            <v>CUENCA CARRILLO DAVID DANIEL</v>
          </cell>
          <cell r="C363" t="str">
            <v>ENFERMERO/A 3</v>
          </cell>
        </row>
        <row r="364">
          <cell r="B364" t="str">
            <v>CUZME PILLIGUA CARMEN ELIZABETH</v>
          </cell>
          <cell r="C364" t="str">
            <v>AUXILIAR DE ENFERMERIA</v>
          </cell>
        </row>
        <row r="365">
          <cell r="B365" t="str">
            <v>DAVID PARRALES CARLOS AGUSTIN</v>
          </cell>
          <cell r="C365" t="str">
            <v>MEDICO/A GENERAL EN FUNCIONES HOSPITALARIAS</v>
          </cell>
        </row>
        <row r="366">
          <cell r="B366" t="str">
            <v>DAVILA DELGADO FABIOLA MELISSA</v>
          </cell>
          <cell r="C366" t="str">
            <v>ENFERMERO/A 3</v>
          </cell>
        </row>
        <row r="367">
          <cell r="B367" t="str">
            <v>DAZA MENDOZA JORGE RODRIGO</v>
          </cell>
          <cell r="C367" t="str">
            <v>ANALISTA DE ASESORIA JURIDICA 1</v>
          </cell>
        </row>
        <row r="368">
          <cell r="B368" t="str">
            <v>DE LA PAZ RIVERO MARIO MIGUEL</v>
          </cell>
          <cell r="C368" t="str">
            <v>MEDICO/A ESPECIALISTA EN NEUROCIRUGIA 1</v>
          </cell>
        </row>
        <row r="369">
          <cell r="B369" t="str">
            <v>DE LA ROSA TOMALA EFREN JOSE</v>
          </cell>
          <cell r="C369" t="str">
            <v>MEDICO/A GENERAL EN FUNCIONES HOSPITALARIAS</v>
          </cell>
        </row>
        <row r="370">
          <cell r="B370" t="str">
            <v>DE MORI GOMEZ ANDRE ALESSANDRO</v>
          </cell>
          <cell r="C370" t="str">
            <v>MEDICO/A ESPECIALISTA EN IMAGENOLOGIA/RADIOLOGIA 1</v>
          </cell>
        </row>
        <row r="371">
          <cell r="B371" t="str">
            <v>DEL VALLE VELASQUEZ JOSSELYN AMARILIS</v>
          </cell>
          <cell r="C371" t="str">
            <v>ENFERMERO/A 3</v>
          </cell>
        </row>
        <row r="372">
          <cell r="B372" t="str">
            <v>DELGADO AMAIQUEMA LIZZI TANIA</v>
          </cell>
          <cell r="C372" t="str">
            <v>MEDICO/A ESPECIALISTA EN EMERGENCIAS Y DESASTRES 1</v>
          </cell>
        </row>
        <row r="373">
          <cell r="B373" t="str">
            <v>DELGADO CARREÑO JENNIFFER NATHALY</v>
          </cell>
          <cell r="C373" t="str">
            <v>MEDICO/A ESPECIALISTA EN MEDICINA INTERNA 1</v>
          </cell>
        </row>
        <row r="374">
          <cell r="B374" t="str">
            <v>DELGADO CHAVEZ SILVIA PATRICIA</v>
          </cell>
          <cell r="C374" t="str">
            <v>ENFERMERO/A 3</v>
          </cell>
        </row>
        <row r="375">
          <cell r="B375" t="str">
            <v>DELGADO DELGADO JENNIFER KATHIUSKA</v>
          </cell>
          <cell r="C375" t="str">
            <v>TECNOLOGO MEDICO DE IMAGENOLOGIA 2</v>
          </cell>
        </row>
        <row r="376">
          <cell r="B376" t="str">
            <v>DELGADO INTRIAGO GEMA STEPHANIE</v>
          </cell>
          <cell r="C376" t="str">
            <v>ENFERMERO/A 3</v>
          </cell>
        </row>
        <row r="377">
          <cell r="B377" t="str">
            <v>DELGADO MACIAS JAVIER ADRIAN</v>
          </cell>
          <cell r="C377" t="str">
            <v>ASISTENTE DE ADMINISTRACION DE CAJA</v>
          </cell>
        </row>
        <row r="378">
          <cell r="B378" t="str">
            <v>DELGADO MENDOZA JULIO CESAR</v>
          </cell>
          <cell r="C378" t="str">
            <v>ENFERMERO/A 3</v>
          </cell>
        </row>
        <row r="379">
          <cell r="B379" t="str">
            <v>DELGADO MENDOZA STEFANY KAROLINA</v>
          </cell>
          <cell r="C379" t="str">
            <v>ENFERMERO/A 3</v>
          </cell>
        </row>
        <row r="380">
          <cell r="B380" t="str">
            <v>DELGADO MERO JOSELYN JULIANA</v>
          </cell>
          <cell r="C380" t="str">
            <v>ENFERMERO/A 3</v>
          </cell>
        </row>
        <row r="381">
          <cell r="B381" t="str">
            <v>DELGADO MOREIRA YORDAN RAFAEL</v>
          </cell>
          <cell r="C381" t="str">
            <v>ENFERMERO/A 3</v>
          </cell>
          <cell r="D381" t="str">
            <v xml:space="preserve">RESP. SERV. INFECTOLOGIA </v>
          </cell>
        </row>
        <row r="382">
          <cell r="B382" t="str">
            <v>DELGADO POSLIGUA CARLOS ALEXANDER</v>
          </cell>
          <cell r="C382" t="str">
            <v>TECNOLOGO MEDICO DE IMAGENOLOGIA 3</v>
          </cell>
        </row>
        <row r="383">
          <cell r="B383" t="str">
            <v>DELGADO RAMIREZ WAGNER ROLANDO</v>
          </cell>
          <cell r="C383" t="str">
            <v>MEDICO/A ESPECIALISTA EN OTORRINOLARINGOLOGIA 1</v>
          </cell>
        </row>
        <row r="384">
          <cell r="B384" t="str">
            <v>DELGADO ROBLES RICARDO ALBERTO</v>
          </cell>
          <cell r="C384" t="str">
            <v>TECNICO DE MANTENIMIENTO</v>
          </cell>
        </row>
        <row r="385">
          <cell r="B385" t="str">
            <v>DELGADO SALDARRIAGA ELENA CECIBEL</v>
          </cell>
          <cell r="C385" t="str">
            <v>AUXILIAR DE ENFERMERIA</v>
          </cell>
        </row>
        <row r="386">
          <cell r="B386" t="str">
            <v>DELGADO SALTOS SUSANA GUADALUPE</v>
          </cell>
          <cell r="C386" t="str">
            <v>ENFERMERO/A 3</v>
          </cell>
        </row>
        <row r="387">
          <cell r="B387" t="str">
            <v>DELGADO SOZA CINTHYA ALICIA</v>
          </cell>
          <cell r="C387" t="str">
            <v>ENFERMERO/A 3</v>
          </cell>
        </row>
        <row r="388">
          <cell r="B388" t="str">
            <v>DELGADO VERA JOHANA PAULINA</v>
          </cell>
          <cell r="C388" t="str">
            <v>TECNICO DE ARCHIVO</v>
          </cell>
        </row>
        <row r="389">
          <cell r="B389" t="str">
            <v>DELGADO ZAMBRANO MARIA JESSENIA</v>
          </cell>
          <cell r="C389" t="str">
            <v>ENFERMERO/A 3</v>
          </cell>
        </row>
        <row r="390">
          <cell r="B390" t="str">
            <v>DELGADO ZAMBRANO VIKY PATRICIA</v>
          </cell>
          <cell r="C390" t="str">
            <v>ENFERMERO/A 3</v>
          </cell>
        </row>
        <row r="391">
          <cell r="B391" t="str">
            <v>DEMERA CENTENO SILVIA ALEXANDRA</v>
          </cell>
          <cell r="C391" t="str">
            <v>ENFERMERO/A 3</v>
          </cell>
        </row>
        <row r="392">
          <cell r="B392" t="str">
            <v>DESIDERIO MOSQUERA TATIANA ELIZABETH</v>
          </cell>
          <cell r="C392" t="str">
            <v>ANALISTA DE CONTABILIDAD 2</v>
          </cell>
        </row>
        <row r="393">
          <cell r="B393" t="str">
            <v>DIAZ CHAMBA FABIAN EDUARDO</v>
          </cell>
          <cell r="C393" t="str">
            <v>QUIMICO / BIOQUIMICO FARMACEUTICO 1</v>
          </cell>
        </row>
        <row r="394">
          <cell r="B394" t="str">
            <v>DIAZ GARRIDO JOSE DAVID</v>
          </cell>
          <cell r="C394" t="str">
            <v>MEDICO/A ESPECIALISTA EN TRAUMATOLOGIA 1</v>
          </cell>
        </row>
        <row r="395">
          <cell r="B395" t="str">
            <v>DIAZ RIZZO FABIOLA ALEJANDRA</v>
          </cell>
          <cell r="C395" t="str">
            <v>ENFERMERO/A 3</v>
          </cell>
        </row>
        <row r="396">
          <cell r="B396" t="str">
            <v>DOMINGUEZ CEDEÑO RICARDO DAMIAN</v>
          </cell>
          <cell r="C396" t="str">
            <v>QUIMICO / BIOQUIMICO FARMACEUTICO 1</v>
          </cell>
        </row>
        <row r="397">
          <cell r="B397" t="str">
            <v>DOMO GARCIA VICTOR RONNY</v>
          </cell>
          <cell r="C397" t="str">
            <v>ENFERMERO/A 3</v>
          </cell>
        </row>
        <row r="398">
          <cell r="B398" t="str">
            <v>DOMO MENDOZA FREDDY ANTONIO</v>
          </cell>
          <cell r="C398" t="str">
            <v>TECNICO DE MANTENIMIENTO</v>
          </cell>
        </row>
        <row r="399">
          <cell r="B399" t="str">
            <v>DOMO MENDOZA MARIA LALLESKA</v>
          </cell>
          <cell r="C399" t="str">
            <v>ENFERMERO/A 3</v>
          </cell>
        </row>
        <row r="400">
          <cell r="B400" t="str">
            <v>DUEÑAS VERA PABLO CESAR</v>
          </cell>
          <cell r="C400" t="str">
            <v>ENFERMERO/A 3</v>
          </cell>
        </row>
        <row r="401">
          <cell r="B401" t="str">
            <v>DURAN CAÑARTE AUGUSTO LEONEL</v>
          </cell>
          <cell r="C401" t="str">
            <v>MEDICO/A ESPECIALISTA EN CUIDADOS INTENSIVOS 1</v>
          </cell>
        </row>
        <row r="402">
          <cell r="B402" t="str">
            <v>DURAN LOOR NOHELY ELIZABETH</v>
          </cell>
          <cell r="C402" t="str">
            <v>AUXILIAR DE LABORATORIO</v>
          </cell>
        </row>
        <row r="403">
          <cell r="B403" t="str">
            <v>DURAN ROLDAN MICHAEL ARONIS</v>
          </cell>
          <cell r="C403" t="str">
            <v>TECNOLOGO MEDICO DE IMAGENOLOGIA 2</v>
          </cell>
        </row>
        <row r="404">
          <cell r="B404" t="str">
            <v>ENDARA CHILAN JHONNY ERASMO</v>
          </cell>
          <cell r="C404" t="str">
            <v>TECNOLOGO MEDICO DE REHABILITACION Y TERAPIA FISICA 2</v>
          </cell>
        </row>
        <row r="405">
          <cell r="B405" t="str">
            <v>ERAZO RAMOS LUIS MANUEL</v>
          </cell>
          <cell r="C405" t="str">
            <v>TECNOLOGO MEDICO DE REHABILITACION Y TERAPIA FISICA 2</v>
          </cell>
        </row>
        <row r="406">
          <cell r="B406" t="str">
            <v>ERIQUE LOOR XIMENA CLARIBEL</v>
          </cell>
          <cell r="C406" t="str">
            <v>ASISTENTE DE ADMISIONES</v>
          </cell>
        </row>
        <row r="407">
          <cell r="B407" t="str">
            <v>ESCOBAR LOPEZ MARY ESTEFANIA</v>
          </cell>
          <cell r="C407" t="str">
            <v>MEDICO/A ESPECIALISTA EN OFTALMOLOGIA 1</v>
          </cell>
        </row>
        <row r="408">
          <cell r="B408" t="str">
            <v>ESPINEL MENENDEZ DAVID ELADIO</v>
          </cell>
          <cell r="C408" t="str">
            <v>AUXILIAR ADMINISTRATIVO DE SALUD DEL SECTOR SALUD</v>
          </cell>
        </row>
        <row r="409">
          <cell r="B409" t="str">
            <v>ESPINOZA CASTRO ANA VALERIA</v>
          </cell>
          <cell r="C409" t="str">
            <v>MEDICO/A GENERAL EN FUNCIONES HOSPITALARIAS</v>
          </cell>
        </row>
        <row r="410">
          <cell r="B410" t="str">
            <v>ESPINOZA CEDEÑO LIDIA MARIA</v>
          </cell>
          <cell r="C410" t="str">
            <v>ENFERMERO/A 3</v>
          </cell>
        </row>
        <row r="411">
          <cell r="B411" t="str">
            <v>ESPINOZA IBARRA ALEXANDRA ELIZABETH</v>
          </cell>
          <cell r="C411" t="str">
            <v>AUXILIAR DE FARMACIA</v>
          </cell>
        </row>
        <row r="412">
          <cell r="B412" t="str">
            <v>ESPINOZA MINAYA ELIO CRISTOBAL</v>
          </cell>
          <cell r="C412" t="str">
            <v>ENFERMERO/A 3</v>
          </cell>
        </row>
        <row r="413">
          <cell r="B413" t="str">
            <v>ESPINOZA RODRIGUEZ JENIFFER NATALY</v>
          </cell>
          <cell r="C413" t="str">
            <v>ENFERMERO/A 3</v>
          </cell>
        </row>
        <row r="414">
          <cell r="B414" t="str">
            <v>ESTRADA MEZA BLANCA CAROLINA</v>
          </cell>
          <cell r="C414" t="str">
            <v>QUIMICO / BIOQUIMICO FARMACEUTICO 1</v>
          </cell>
        </row>
        <row r="415">
          <cell r="B415" t="str">
            <v>ESTRADA MEZA NOHELIA PATRICIA</v>
          </cell>
          <cell r="C415" t="str">
            <v>MEDICO/A ESPECIALISTA EN CARDIOLOGIA 1</v>
          </cell>
        </row>
        <row r="416">
          <cell r="B416" t="str">
            <v>FARFAN ALCIVAR PABLO ALEJANDRO</v>
          </cell>
          <cell r="C416" t="str">
            <v>ENFERMERO/A 3</v>
          </cell>
        </row>
        <row r="417">
          <cell r="B417" t="str">
            <v>FARFAN BRIONES DAVINIA LISETH</v>
          </cell>
          <cell r="C417" t="str">
            <v>MEDICO/A GENERAL EN FUNCIONES HOSPITALARIAS</v>
          </cell>
        </row>
        <row r="418">
          <cell r="B418" t="str">
            <v>FARFAN CARDENAS RENE XAVIER</v>
          </cell>
          <cell r="C418" t="str">
            <v>MEDICO/A ESPECIALISTA EN CARDIOLOGIA 1</v>
          </cell>
        </row>
        <row r="419">
          <cell r="B419" t="str">
            <v>FARFAN CARRION WINTER HOMERO</v>
          </cell>
          <cell r="C419" t="str">
            <v>GUARDALMACEN</v>
          </cell>
        </row>
        <row r="420">
          <cell r="B420" t="str">
            <v>FARFAN CEDEÑO HECTOR FABIAN</v>
          </cell>
          <cell r="C420" t="str">
            <v>MEDICO/A GENERAL EN FUNCIONES HOSPITALARIAS</v>
          </cell>
        </row>
        <row r="421">
          <cell r="B421" t="str">
            <v>FARFAN CUENCA AURI CRISTINA</v>
          </cell>
          <cell r="C421" t="str">
            <v>MEDICO/A ESPECIALISTA EN REUMATOLOGIA 1</v>
          </cell>
        </row>
        <row r="422">
          <cell r="B422" t="str">
            <v>FARFAN DELGADO LADY SUSANA</v>
          </cell>
          <cell r="C422" t="str">
            <v>ENFERMERO/A 3</v>
          </cell>
        </row>
        <row r="423">
          <cell r="B423" t="str">
            <v>FARFAN RODRIGUEZ BEIDA JOSEFA</v>
          </cell>
          <cell r="C423" t="str">
            <v>ENFERMERO/A 3</v>
          </cell>
        </row>
        <row r="424">
          <cell r="B424" t="str">
            <v>FARFAN ZAMBRANO XIMENA ELIZABETH</v>
          </cell>
          <cell r="C424" t="str">
            <v>TECNOLOGO MEDICO DE IMAGENOLOGIA 2</v>
          </cell>
        </row>
        <row r="425">
          <cell r="B425" t="str">
            <v>FARIAS CARREÑO JENNIFER GIOVANNA</v>
          </cell>
          <cell r="C425" t="str">
            <v>ENFERMERO/A 3</v>
          </cell>
        </row>
        <row r="426">
          <cell r="B426" t="str">
            <v>FARIAS MENDOZA MARTHA ELENA</v>
          </cell>
          <cell r="C426" t="str">
            <v>GUARDALMACEN</v>
          </cell>
        </row>
        <row r="427">
          <cell r="B427" t="str">
            <v>FERNANDEZ ANDRADE CLAUDIA MARIANA</v>
          </cell>
          <cell r="C427" t="str">
            <v>MEDICO/A GENERAL EN FUNCIONES HOSPITALARIAS</v>
          </cell>
        </row>
        <row r="428">
          <cell r="B428" t="str">
            <v>FERNANDEZ CHACON LUIS DAVID</v>
          </cell>
          <cell r="C428" t="str">
            <v>MEDICO/A GENERAL EN FUNCIONES HOSPITALARIAS</v>
          </cell>
        </row>
        <row r="429">
          <cell r="B429" t="str">
            <v>FERNANDEZ LOOR GEMA VALERIA</v>
          </cell>
          <cell r="C429" t="str">
            <v>ENFERMERO/A 3</v>
          </cell>
        </row>
        <row r="430">
          <cell r="B430" t="str">
            <v>FERNANDEZ REZABALA ANAELA NICOLE</v>
          </cell>
          <cell r="C430" t="str">
            <v>ASISTENTE DE ADMISION</v>
          </cell>
        </row>
        <row r="431">
          <cell r="B431" t="str">
            <v>FERNANDEZ RIVADENEIRA JORGE FRANCOIS</v>
          </cell>
          <cell r="C431" t="str">
            <v>ANALISTA DE TECNOLOGIAS DE LA INFORMACION Y COMUNICACIONES 2</v>
          </cell>
        </row>
        <row r="432">
          <cell r="B432" t="str">
            <v>FERNANDEZ SANCHEZ ROBERTH ARTURO</v>
          </cell>
          <cell r="C432" t="str">
            <v>MEDICO/A GENERAL EN FUNCIONES HOSPITALARIAS</v>
          </cell>
        </row>
        <row r="433">
          <cell r="B433" t="str">
            <v>FERRIN CEDEÑO GEMA ESTEFANIA</v>
          </cell>
          <cell r="C433" t="str">
            <v>TECNOLOGO MEDICO DE IMAGENOLOGIA 3</v>
          </cell>
        </row>
        <row r="434">
          <cell r="B434" t="str">
            <v>FERRIN GARCIA RICARDO JAIR</v>
          </cell>
          <cell r="C434" t="str">
            <v>ENFERMERO/A 3</v>
          </cell>
          <cell r="D434" t="str">
            <v>RESP. SERV. QUEMADOS</v>
          </cell>
        </row>
        <row r="435">
          <cell r="B435" t="str">
            <v>FERRIN LOOR GABRIEL EDUARDO</v>
          </cell>
          <cell r="C435" t="str">
            <v>LABORATORISTA CLINICO 1</v>
          </cell>
        </row>
        <row r="436">
          <cell r="B436" t="str">
            <v>FERRIN ZAMBRANO EILEN DAYANA</v>
          </cell>
          <cell r="C436" t="str">
            <v>ENFERMERO/A 3</v>
          </cell>
        </row>
        <row r="437">
          <cell r="B437" t="str">
            <v>FIENCO RODRIGUEZ KARLA MARIANA</v>
          </cell>
          <cell r="C437" t="str">
            <v>ENFERMERO/A 3</v>
          </cell>
        </row>
        <row r="438">
          <cell r="B438" t="str">
            <v>FIGUEROA ALCIVAR ISRAEL DAVID</v>
          </cell>
          <cell r="C438" t="str">
            <v>MEDICO/A GENERAL EN FUNCIONES HOSPITALARIAS</v>
          </cell>
        </row>
        <row r="439">
          <cell r="B439" t="str">
            <v>FIGUEROA BURGOS JONATHAN DANIEL</v>
          </cell>
          <cell r="C439" t="str">
            <v>ENFERMERO/A 3</v>
          </cell>
        </row>
        <row r="440">
          <cell r="B440" t="str">
            <v>FIGUEROA CHIQUITO CARLOS JULIO</v>
          </cell>
          <cell r="C440" t="str">
            <v>ENFERMERO/A 3</v>
          </cell>
        </row>
        <row r="441">
          <cell r="B441" t="str">
            <v>FIGUEROA MERO GEMA AURA</v>
          </cell>
          <cell r="C441" t="str">
            <v>ENFERMERO/A 3</v>
          </cell>
        </row>
        <row r="442">
          <cell r="B442" t="str">
            <v>FIGUEROA RIVERA IBETH AYURAMY</v>
          </cell>
          <cell r="C442" t="str">
            <v>ENFERMERO/A 3</v>
          </cell>
        </row>
        <row r="443">
          <cell r="B443" t="str">
            <v>FIGUEROA SANCAN FORTUNATO FRANCISCO</v>
          </cell>
          <cell r="C443" t="str">
            <v>AUXILIAR ADMINISTRATIVO DE SALUD DEL SECTOR SALUD</v>
          </cell>
        </row>
        <row r="444">
          <cell r="B444" t="str">
            <v>FIGUEROA ZAMORA JESSICA TATIANA</v>
          </cell>
          <cell r="C444" t="str">
            <v>ENFERMERO/A 3</v>
          </cell>
        </row>
        <row r="445">
          <cell r="B445" t="str">
            <v>FLORES GARCIA LEONOR ELIZABETH</v>
          </cell>
          <cell r="C445" t="str">
            <v>TERAPISTA DE PSICOREHABILITACION 1</v>
          </cell>
        </row>
        <row r="446">
          <cell r="B446" t="str">
            <v>FLORES SANCAN GEORGE JAIR</v>
          </cell>
          <cell r="C446" t="str">
            <v>AUXILIAR DE ENFERMERIA</v>
          </cell>
        </row>
        <row r="447">
          <cell r="B447" t="str">
            <v>FLORES SANTOS LIDIA CONCEPCION</v>
          </cell>
          <cell r="C447" t="str">
            <v>MEDICO/A GENERAL EN FUNCIONES HOSPITALARIAS</v>
          </cell>
        </row>
        <row r="448">
          <cell r="B448" t="str">
            <v>FLORES ZAMORA LILIANA MONSERRATE</v>
          </cell>
          <cell r="C448" t="str">
            <v>ENFERMERO/A 3</v>
          </cell>
        </row>
        <row r="449">
          <cell r="B449" t="str">
            <v>FORTIS FORTIS ANGIE ALEXANDRA</v>
          </cell>
          <cell r="C449" t="str">
            <v>ENFERMERO/A 3</v>
          </cell>
        </row>
        <row r="450">
          <cell r="B450" t="str">
            <v>FRANCO ALCIVAR DANNY JAHIR</v>
          </cell>
          <cell r="C450" t="str">
            <v>MEDICO/A GENERAL EN FUNCIONES HOSPITALARIAS</v>
          </cell>
        </row>
        <row r="451">
          <cell r="B451" t="str">
            <v>FRANCO COBEÑA ANTHONY ALEXANDER</v>
          </cell>
          <cell r="C451" t="str">
            <v>ENFERMERO/A 3</v>
          </cell>
        </row>
        <row r="452">
          <cell r="B452" t="str">
            <v>FRANCO LOPEZ ADELAIDA ESTEFANIA</v>
          </cell>
          <cell r="C452" t="str">
            <v>ENFERMERO/A 3</v>
          </cell>
        </row>
        <row r="453">
          <cell r="B453" t="str">
            <v>FREIRE PEREIRA ELIANA PATRICIA</v>
          </cell>
          <cell r="C453" t="str">
            <v>ENFERMERO/A 3</v>
          </cell>
        </row>
        <row r="454">
          <cell r="B454" t="str">
            <v>FUENTES MENDOZA LUIS ENRIQUE</v>
          </cell>
          <cell r="C454" t="str">
            <v>MEDICO/A GENERAL EN FUNCIONES HOSPITALARIAS</v>
          </cell>
        </row>
        <row r="455">
          <cell r="B455" t="str">
            <v>GAIBOR VELOZ ERICK RENE</v>
          </cell>
          <cell r="C455" t="str">
            <v>MEDICO/A ESPECIALISTA EN TRAUMATOLOGIA 1</v>
          </cell>
        </row>
        <row r="456">
          <cell r="B456" t="str">
            <v>GALARZA MANZABA JESSENIA ALEXANDRA</v>
          </cell>
          <cell r="C456" t="str">
            <v>ASISTENTE DE ADMISIONES</v>
          </cell>
        </row>
        <row r="457">
          <cell r="B457" t="str">
            <v>GALARZA PINCAY VERONICA ELIZABETH</v>
          </cell>
          <cell r="C457" t="str">
            <v>ENFERMERO/A 3</v>
          </cell>
        </row>
        <row r="458">
          <cell r="B458" t="str">
            <v>GALARZA VERA GISSELL ANDREA</v>
          </cell>
          <cell r="C458" t="str">
            <v>MEDICO/A GENERAL EN FUNCIONES HOSPITALARIAS</v>
          </cell>
        </row>
        <row r="459">
          <cell r="B459" t="str">
            <v>GANCHOZO LUZARDO LUIS MIGUEL</v>
          </cell>
          <cell r="C459" t="str">
            <v>ENFERMERO/A 3</v>
          </cell>
        </row>
        <row r="460">
          <cell r="B460" t="str">
            <v>GARCIA ALARCON JUAN ENRIQUE</v>
          </cell>
          <cell r="C460" t="str">
            <v>ENFERMERO/A 3</v>
          </cell>
        </row>
        <row r="461">
          <cell r="B461" t="str">
            <v>GARCIA ALAVA CRISTHIAN ALEXANDER</v>
          </cell>
          <cell r="C461" t="str">
            <v>ENFERMERO/A 3</v>
          </cell>
        </row>
        <row r="462">
          <cell r="B462" t="str">
            <v>GARCIA ALAVA LUIS ENRIQUE</v>
          </cell>
          <cell r="C462" t="str">
            <v>ENFERMERO/A 3</v>
          </cell>
        </row>
        <row r="463">
          <cell r="B463" t="str">
            <v>GARCIA ALCIVAR MARIA JOSE</v>
          </cell>
          <cell r="C463" t="str">
            <v>ENFERMERO/A 3</v>
          </cell>
        </row>
        <row r="464">
          <cell r="B464" t="str">
            <v>GARCIA ANTON JESSICA LISETH</v>
          </cell>
          <cell r="C464" t="str">
            <v>ENFERMERO/A 3</v>
          </cell>
        </row>
        <row r="465">
          <cell r="B465" t="str">
            <v>GARCIA ARTEAGA HEYWAR RODOLFO</v>
          </cell>
          <cell r="C465" t="str">
            <v>ENFERMERO/A 3</v>
          </cell>
        </row>
        <row r="466">
          <cell r="B466" t="str">
            <v>GARCIA AVILA MARIA GABRIELA</v>
          </cell>
          <cell r="C466" t="str">
            <v>MEDICO/A SUBESPECIALISTA EN NEONATOLOGIA</v>
          </cell>
        </row>
        <row r="467">
          <cell r="B467" t="str">
            <v>GARCIA BARREIRO MARIA ELIZA</v>
          </cell>
          <cell r="C467" t="str">
            <v>TECNOLOGO MEDICO DE REHABILITACION Y TERAPIA FISICA 3</v>
          </cell>
          <cell r="D467" t="str">
            <v>RESP SERV REHABILITACION</v>
          </cell>
        </row>
        <row r="468">
          <cell r="B468" t="str">
            <v>GARCIA BERMELLO ANGELA GEOCONDA</v>
          </cell>
          <cell r="C468" t="str">
            <v>AUXILIAR DE FARMACIA</v>
          </cell>
        </row>
        <row r="469">
          <cell r="B469" t="str">
            <v>GARCIA CABRERA DANIELA ALEJANDRA</v>
          </cell>
          <cell r="C469" t="str">
            <v>ENFERMERO/A 3</v>
          </cell>
        </row>
        <row r="470">
          <cell r="B470" t="str">
            <v>GARCIA CASANOVA TEDDY JAVIER</v>
          </cell>
          <cell r="C470" t="str">
            <v>MEDICO/A ESPECIALISTA EN EMERGENCIAS Y DESASTRES 1</v>
          </cell>
        </row>
        <row r="471">
          <cell r="B471" t="str">
            <v>GARCIA CATAGUA ANDREA LISBETH</v>
          </cell>
          <cell r="C471" t="str">
            <v>ENFERMERO/A 3</v>
          </cell>
        </row>
        <row r="472">
          <cell r="B472" t="str">
            <v>GARCIA CHANCAY CINTHYA NOEMI</v>
          </cell>
          <cell r="C472" t="str">
            <v>AUXILIAR DE ENFERMERIA</v>
          </cell>
        </row>
        <row r="473">
          <cell r="B473" t="str">
            <v>GARCIA DELGADO ANA KATHERINE</v>
          </cell>
          <cell r="C473" t="str">
            <v>TECNOLOGO MEDICO DE IMAGENOLOGIA 3</v>
          </cell>
        </row>
        <row r="474">
          <cell r="B474" t="str">
            <v>GARCIA ENDARA RUTH DANIELA</v>
          </cell>
          <cell r="C474" t="str">
            <v>MEDICO/A ESPECIALISTA EN GERIATRIA 1</v>
          </cell>
        </row>
        <row r="475">
          <cell r="B475" t="str">
            <v>GARCIA ESPAÑA KESHIA POLETT</v>
          </cell>
          <cell r="C475" t="str">
            <v>MEDICO/A GENERAL EN FUNCIONES HOSPITALARIAS</v>
          </cell>
        </row>
        <row r="476">
          <cell r="B476" t="str">
            <v>GARCIA ESPINALES MERCEDES VALERIA</v>
          </cell>
          <cell r="C476" t="str">
            <v>ENFERMERO/A 3</v>
          </cell>
        </row>
        <row r="477">
          <cell r="B477" t="str">
            <v>GARCIA GARCIA JENNIFER VALERIA</v>
          </cell>
          <cell r="C477" t="str">
            <v>ENFERMERO/A 3</v>
          </cell>
        </row>
        <row r="478">
          <cell r="B478" t="str">
            <v>GARCIA GARCIA MARIA</v>
          </cell>
          <cell r="C478" t="str">
            <v>TECNOLOGO MEDICO DE REHABILITACION Y TERAPIA FISICA 3</v>
          </cell>
        </row>
        <row r="479">
          <cell r="B479" t="str">
            <v>GARCIA GUERRERO NANCY ANNABEL</v>
          </cell>
          <cell r="C479" t="str">
            <v>ENFERMERO/A 3</v>
          </cell>
        </row>
        <row r="480">
          <cell r="B480" t="str">
            <v>GARCIA HEREDIA ANDY ALBERTO</v>
          </cell>
          <cell r="C480" t="str">
            <v>ASISTENTE DE ADMISIONES</v>
          </cell>
        </row>
        <row r="481">
          <cell r="B481" t="str">
            <v>GARCIA LUCAS LUIS GREGORIO</v>
          </cell>
          <cell r="C481" t="str">
            <v>LABORATORISTA CLINICO 1</v>
          </cell>
        </row>
        <row r="482">
          <cell r="B482" t="str">
            <v>GARCIA MACIAS ERICK JUVENAL</v>
          </cell>
          <cell r="C482" t="str">
            <v>ENFERMERO/A 3</v>
          </cell>
          <cell r="D482" t="str">
            <v>RESP CENTRO QUIRURGICO</v>
          </cell>
        </row>
        <row r="483">
          <cell r="B483" t="str">
            <v>GARCIA MACIAS VERONICA ELIZABETH</v>
          </cell>
          <cell r="C483" t="str">
            <v>ENFERMERO/A 3</v>
          </cell>
        </row>
        <row r="484">
          <cell r="B484" t="str">
            <v>GARCIA MENDOZA MARIA LEONOR</v>
          </cell>
          <cell r="C484" t="str">
            <v>ASISTENTE DE ADMISIONES</v>
          </cell>
        </row>
        <row r="485">
          <cell r="B485" t="str">
            <v>GARCIA MENENDEZ KATHERINE LISBETH</v>
          </cell>
          <cell r="C485" t="str">
            <v>MEDICO/A GENERAL EN FUNCIONES HOSPITALARIAS</v>
          </cell>
        </row>
        <row r="486">
          <cell r="B486" t="str">
            <v>GARCIA MIELES CINTHYA VICTORIA</v>
          </cell>
          <cell r="C486" t="str">
            <v>TRABAJADOR/A SOCIAL 1</v>
          </cell>
        </row>
        <row r="487">
          <cell r="B487" t="str">
            <v>GARCIA MOREIRA MARIA FERNANDA</v>
          </cell>
          <cell r="C487" t="str">
            <v>MEDICO/A ESPECIALISTA EN ANESTESIOLOGIA 1</v>
          </cell>
        </row>
        <row r="488">
          <cell r="B488" t="str">
            <v>GARCIA MOREIRA SOFIA JISLAYNE</v>
          </cell>
          <cell r="C488" t="str">
            <v>TRABAJADOR/A SOCIAL INSTITUCIONAL</v>
          </cell>
        </row>
        <row r="489">
          <cell r="B489" t="str">
            <v>GARCIA MURILLO BRAULIO XAVIER</v>
          </cell>
          <cell r="C489" t="str">
            <v>AUXILIAR DE ENFERMERIA</v>
          </cell>
        </row>
        <row r="490">
          <cell r="B490" t="str">
            <v>GARCIA NAVARRETE CINTHYA KATHERINE</v>
          </cell>
          <cell r="C490" t="str">
            <v>ENFERMERO/A 3</v>
          </cell>
        </row>
        <row r="491">
          <cell r="B491" t="str">
            <v>GARCIA NAVARRETE MIGUEL HERNAN</v>
          </cell>
          <cell r="C491" t="str">
            <v>MEDICO/A GENERAL EN FUNCIONES HOSPITALARIAS</v>
          </cell>
        </row>
        <row r="492">
          <cell r="B492" t="str">
            <v>GARCIA NUÑEZ DAYANARA LORELEY</v>
          </cell>
          <cell r="C492" t="str">
            <v>ENFERMERO/A 3</v>
          </cell>
        </row>
        <row r="493">
          <cell r="B493" t="str">
            <v>GARCIA PAREDES HUGO HERNAN</v>
          </cell>
          <cell r="C493" t="str">
            <v>ANALISTA DE ELECTROMECANICA</v>
          </cell>
        </row>
        <row r="494">
          <cell r="B494" t="str">
            <v>GARCIA PARRAGA VIVIANA KATHERINE</v>
          </cell>
          <cell r="C494" t="str">
            <v>ENFERMERO/A 3</v>
          </cell>
        </row>
        <row r="495">
          <cell r="B495" t="str">
            <v>GARCIA PIN CRISTINA ANNABELL</v>
          </cell>
          <cell r="C495" t="str">
            <v>ENFERMERO/A 3</v>
          </cell>
        </row>
        <row r="496">
          <cell r="B496" t="str">
            <v>GARCIA QUIROZ ANA LIA</v>
          </cell>
          <cell r="C496" t="str">
            <v>ENFERMERO/A 3</v>
          </cell>
        </row>
        <row r="497">
          <cell r="B497" t="str">
            <v>GARCIA RIOS DENNY GRACIELA</v>
          </cell>
          <cell r="C497" t="str">
            <v>AUXILIAR DE ENFERMERIA</v>
          </cell>
        </row>
        <row r="498">
          <cell r="B498" t="str">
            <v>GARCIA VALLEJO CESAR AUGUSTO</v>
          </cell>
          <cell r="C498" t="str">
            <v>MEDICO/A ESPECIALISTA EN IMAGENOLOGIA/RADIOLOGIA 1</v>
          </cell>
        </row>
        <row r="499">
          <cell r="B499" t="str">
            <v>GARCIA VELEZ JESSICA MARICELA</v>
          </cell>
          <cell r="C499" t="str">
            <v>AUXILIAR ADMINISTRATIVO DE SALUD DEL SECTOR SALUD</v>
          </cell>
        </row>
        <row r="500">
          <cell r="B500" t="str">
            <v>GARCIA VINCES JIPSON ALEJANDRO</v>
          </cell>
          <cell r="C500" t="str">
            <v>AUXILIAR DE ENFERMERIA</v>
          </cell>
        </row>
        <row r="501">
          <cell r="B501" t="str">
            <v>GILER ALCIVAR MARIA CECILIA</v>
          </cell>
          <cell r="C501" t="str">
            <v>ENFERMERO/A 3</v>
          </cell>
        </row>
        <row r="502">
          <cell r="B502" t="str">
            <v>GILER CALDERON LEONELA MARIA</v>
          </cell>
          <cell r="C502" t="str">
            <v>TECNOLOGO MEDICO DE IMAGENOLOGIA 2</v>
          </cell>
        </row>
        <row r="503">
          <cell r="B503" t="str">
            <v>GILER CASANOVA JONNY PAUL</v>
          </cell>
          <cell r="C503" t="str">
            <v>MEDICO/A ESPECIALISTA EN EMERGENCIAS Y DESASTRES 1</v>
          </cell>
        </row>
        <row r="504">
          <cell r="B504" t="str">
            <v>GILER ESTRELLA MARIA GISSELA</v>
          </cell>
          <cell r="C504" t="str">
            <v>ENFERMERO/A 3</v>
          </cell>
        </row>
        <row r="505">
          <cell r="B505" t="str">
            <v>GIRALDO SOLORZANO GEMA LOURDES</v>
          </cell>
          <cell r="C505" t="str">
            <v>MEDICO/A GENERAL EN FUNCIONES HOSPITALARIAS</v>
          </cell>
        </row>
        <row r="506">
          <cell r="B506" t="str">
            <v>GOMEZ ALAVA WALTER WASHINGTON</v>
          </cell>
          <cell r="C506" t="str">
            <v>TECNOLOGO MEDICO DE REHABILITACION Y TERAPIA FISICA 2</v>
          </cell>
        </row>
        <row r="507">
          <cell r="B507" t="str">
            <v>GOMEZ ANDRADE MARIA KARINA</v>
          </cell>
          <cell r="C507" t="str">
            <v>MEDICO/A GENERAL EN FUNCIONES HOSPITALARIAS</v>
          </cell>
        </row>
        <row r="508">
          <cell r="B508" t="str">
            <v>GOMEZ SALDARRIAGA KENIA MARCELA</v>
          </cell>
          <cell r="C508" t="str">
            <v>ENFERMERO/A 3</v>
          </cell>
        </row>
        <row r="509">
          <cell r="B509" t="str">
            <v>GONIMA ZAMBRANO GUSTAVO ANDREI</v>
          </cell>
          <cell r="C509" t="str">
            <v>MEDICO/A ESPECIALISTA EN CIRUGIA PLASTICA Y RECONSTRUCTIVA 1</v>
          </cell>
        </row>
        <row r="510">
          <cell r="B510" t="str">
            <v>GONZALES SANTANA ADRIANA LISSETH</v>
          </cell>
          <cell r="C510" t="str">
            <v>ENFERMERO/A 3</v>
          </cell>
        </row>
        <row r="511">
          <cell r="B511" t="str">
            <v>GONZALEZ PARRALES WASHINGTON JOSE</v>
          </cell>
          <cell r="C511" t="str">
            <v>LABORATORISTA CLINICO 1</v>
          </cell>
        </row>
        <row r="512">
          <cell r="B512" t="str">
            <v>GOROZABEL PEREZ ANGEL ADRIAN</v>
          </cell>
          <cell r="C512" t="str">
            <v>ENFERMERO/A 3</v>
          </cell>
        </row>
        <row r="513">
          <cell r="B513" t="str">
            <v>GRACIA MOREIRA ANGGIE ISABEL</v>
          </cell>
          <cell r="C513" t="str">
            <v>TECNOLOGO MEDICO DE REHABILITACION Y TERAPIA FISICA 3</v>
          </cell>
        </row>
        <row r="514">
          <cell r="B514" t="str">
            <v>GRANDA MACIAS LEONARDO MARFIDES</v>
          </cell>
          <cell r="C514" t="str">
            <v>ENFERMERO/A 3</v>
          </cell>
        </row>
        <row r="515">
          <cell r="B515" t="str">
            <v>GRANILLO CHAVEZ MARIA GEMA</v>
          </cell>
          <cell r="C515" t="str">
            <v>MEDICO/A GENERAL EN FUNCIONES HOSPITALARIAS</v>
          </cell>
        </row>
        <row r="516">
          <cell r="B516" t="str">
            <v>GUADAMUD ALCIVAR MELISSA NATHALI</v>
          </cell>
          <cell r="C516" t="str">
            <v>ENFERMERO/A 3</v>
          </cell>
        </row>
        <row r="517">
          <cell r="B517" t="str">
            <v>GUADAMUD GOMEZ WINER JEANCARLOS</v>
          </cell>
          <cell r="C517" t="str">
            <v>MEDICO/A ESPECIALISTA EN TRAUMATOLOGIA 1</v>
          </cell>
        </row>
        <row r="518">
          <cell r="B518" t="str">
            <v>GUADAMUD PEÑARRIETA GEMA FERNANDA</v>
          </cell>
          <cell r="C518" t="str">
            <v>MEDICO/A GENERAL EN FUNCIONES HOSPITALARIAS</v>
          </cell>
        </row>
        <row r="519">
          <cell r="B519" t="str">
            <v>GUANOLUISA FRANCO JENNIFER KATHERINE</v>
          </cell>
          <cell r="C519" t="str">
            <v>ENFERMERO/A 3</v>
          </cell>
        </row>
        <row r="520">
          <cell r="B520" t="str">
            <v>GUARANDA MERO EDUARDO LUIS</v>
          </cell>
          <cell r="C520" t="str">
            <v>TECNOLOGO MEDICO DE LABORATORIO 3</v>
          </cell>
        </row>
        <row r="521">
          <cell r="B521" t="str">
            <v>GUARANDA RODRIGUEZ PETITA YESSENIA</v>
          </cell>
          <cell r="C521" t="str">
            <v>ENFERMERO/A 3</v>
          </cell>
        </row>
        <row r="522">
          <cell r="B522" t="str">
            <v>GUERRERO CATAGUA PAOLA STEFANIA</v>
          </cell>
          <cell r="C522" t="str">
            <v>ENFERMERO/A 3</v>
          </cell>
        </row>
        <row r="523">
          <cell r="B523" t="str">
            <v>GUERRERO RODRIGUEZ ERIKA KATHERINE</v>
          </cell>
          <cell r="C523" t="str">
            <v>ENFERMERO/A 3</v>
          </cell>
        </row>
        <row r="524">
          <cell r="B524" t="str">
            <v>GUERRERO ZAMBRANO CINTHYA MARIA</v>
          </cell>
          <cell r="C524" t="str">
            <v>MEDICO/A ESPECIALISTA EN DERMATOLOGIA 1</v>
          </cell>
        </row>
        <row r="525">
          <cell r="B525" t="str">
            <v>GUILLEN CANTOS MELINA BEATRIZ</v>
          </cell>
          <cell r="C525" t="str">
            <v>TECNOLOGO MEDICO DE REHABILITACION Y TERAPIA FISICA 2</v>
          </cell>
        </row>
        <row r="526">
          <cell r="B526" t="str">
            <v>GUILLEN CUADROS MAYRA VANESSA</v>
          </cell>
          <cell r="C526" t="str">
            <v>MEDICO/A ESPECIALISTA EN NEUMOLOGIA 1</v>
          </cell>
        </row>
        <row r="527">
          <cell r="B527" t="str">
            <v>GUILLEN GARCIA DARIO FERNANDO</v>
          </cell>
          <cell r="C527" t="str">
            <v>MEDICO/A GENERAL EN FUNCIONES HOSPITALARIAS</v>
          </cell>
        </row>
        <row r="528">
          <cell r="B528" t="str">
            <v>GUILLEN MENDOZA MARIA ALEJANDRA</v>
          </cell>
          <cell r="C528" t="str">
            <v>ODONTOLOGO/A ESPECIALISTA EN REHABILITACION ORAL 4</v>
          </cell>
        </row>
        <row r="529">
          <cell r="B529" t="str">
            <v>GUTIERREZ GOROZABEL MARIO DANIEL</v>
          </cell>
          <cell r="C529" t="str">
            <v>QUIMICO / BIOQUIMICO FARMACEUTICO 1</v>
          </cell>
        </row>
        <row r="530">
          <cell r="B530" t="str">
            <v>GUTIERREZ LOOR JESSENIA ESTHER</v>
          </cell>
          <cell r="C530" t="str">
            <v>AUXILIAR DE ENFERMERIA</v>
          </cell>
        </row>
        <row r="531">
          <cell r="B531" t="str">
            <v>HERMIDA GANCHOZO KATHERYN ISABEL</v>
          </cell>
          <cell r="C531" t="str">
            <v>ENFERMERO/A 3</v>
          </cell>
        </row>
        <row r="532">
          <cell r="B532" t="str">
            <v>HERNANDEZ ALAVA GEMA MARIA</v>
          </cell>
          <cell r="C532" t="str">
            <v>TERAPISTA DE LENGUAJE Y AUDITIVA</v>
          </cell>
        </row>
        <row r="533">
          <cell r="B533" t="str">
            <v>HERNANDEZ AMPARAN SARAY</v>
          </cell>
          <cell r="C533" t="str">
            <v>MEDICO/A GENERAL EN FUNCIONES HOSPITALARIAS</v>
          </cell>
        </row>
        <row r="534">
          <cell r="B534" t="str">
            <v>HERNANDEZ ZAMBRANO PRISCILLA GUADALUPE</v>
          </cell>
          <cell r="C534" t="str">
            <v>LABORATORISTA CLINICO 1</v>
          </cell>
        </row>
        <row r="535">
          <cell r="B535" t="str">
            <v>HERRERA INTRIAGO CLARA CECIBEL</v>
          </cell>
          <cell r="C535" t="str">
            <v>AUXILIAR DE ENFERMERIA</v>
          </cell>
        </row>
        <row r="536">
          <cell r="B536" t="str">
            <v>HIDALGO BRIONES GEOMARA ESTEFANY</v>
          </cell>
          <cell r="C536" t="str">
            <v>ENFERMERO/A 3</v>
          </cell>
        </row>
        <row r="537">
          <cell r="B537" t="str">
            <v>HIDALGO COELLO STEPHANIE DAYANARA</v>
          </cell>
          <cell r="C537" t="str">
            <v>MEDICO/A GENERAL EN FUNCIONES HOSPITALARIAS</v>
          </cell>
        </row>
        <row r="538">
          <cell r="B538" t="str">
            <v>HIDALGO PALMA ROSA ELENA</v>
          </cell>
          <cell r="C538" t="str">
            <v>ENFERMERO/A 3</v>
          </cell>
        </row>
        <row r="539">
          <cell r="B539" t="str">
            <v>HIDROVO OCAÑA GORKI ANDRES</v>
          </cell>
          <cell r="C539" t="str">
            <v>MEDICO/A ESPECIALISTA EN CIRUGIA GENERAL 1</v>
          </cell>
        </row>
        <row r="540">
          <cell r="B540" t="str">
            <v>HINOSTROZA DUEÑAS FREDDY XAVIER</v>
          </cell>
          <cell r="C540" t="str">
            <v>MEDICO/A ESPECIALISTA EN GASTROENTEROLOGIA 1</v>
          </cell>
          <cell r="D540" t="str">
            <v xml:space="preserve">RESP. SERV. HOSPITAL DEL DIA </v>
          </cell>
        </row>
        <row r="541">
          <cell r="B541" t="str">
            <v>HURTADO JIMENEZ CRISTHIAN JAVIER</v>
          </cell>
          <cell r="C541" t="str">
            <v>ENFERMERO/A 3</v>
          </cell>
        </row>
        <row r="542">
          <cell r="B542" t="str">
            <v>IBARRA IBARRA GINA ELIZABETH</v>
          </cell>
          <cell r="C542" t="str">
            <v>ENFERMERO/A 3</v>
          </cell>
        </row>
        <row r="543">
          <cell r="B543" t="str">
            <v>IBARRA INTRIAGO JEAN PAUL</v>
          </cell>
          <cell r="C543" t="str">
            <v>MEDICO/A GENERAL EN FUNCIONES HOSPITALARIAS</v>
          </cell>
        </row>
        <row r="544">
          <cell r="B544" t="str">
            <v>IBARRA MALDONADO BRYAN VICENTE</v>
          </cell>
          <cell r="C544" t="str">
            <v>AUXILIAR ADMINISTRATIVO DE SALUD DEL SECTOR SALUD</v>
          </cell>
        </row>
        <row r="545">
          <cell r="B545" t="str">
            <v>IBARRA PONCE ENRIQUE ANTENOR</v>
          </cell>
          <cell r="C545" t="str">
            <v>TECNOLOGO MEDICO DE IMAGENOLOGIA 2</v>
          </cell>
        </row>
        <row r="546">
          <cell r="B546" t="str">
            <v>IBARRA VELEZ JAIME ROBERTO</v>
          </cell>
          <cell r="C546" t="str">
            <v>MEDICO/A GENERAL EN FUNCIONES HOSPITALARIAS</v>
          </cell>
        </row>
        <row r="547">
          <cell r="B547" t="str">
            <v>INDACOCHEA CASTRO KASSANDRA JUDITH</v>
          </cell>
          <cell r="C547" t="str">
            <v>ENFERMERO/A 3</v>
          </cell>
        </row>
        <row r="548">
          <cell r="B548" t="str">
            <v>INDACOCHEA MARCILLO DANIELA VANESSA</v>
          </cell>
          <cell r="C548" t="str">
            <v>ENFERMERO/A 3</v>
          </cell>
        </row>
        <row r="549">
          <cell r="B549" t="str">
            <v>INDARTE CEDEÑO MARIA JOSE</v>
          </cell>
          <cell r="C549" t="str">
            <v>ENFERMERO/A 3</v>
          </cell>
        </row>
        <row r="550">
          <cell r="B550" t="str">
            <v>INTRIAGO ACUÑA DANIEL ALEJANDRO</v>
          </cell>
          <cell r="C550" t="str">
            <v>MEDICO/A GENERAL EN FUNCIONES HOSPITALARIAS</v>
          </cell>
        </row>
        <row r="551">
          <cell r="B551" t="str">
            <v>INTRIAGO ACUÑA KAREN MARIELA</v>
          </cell>
          <cell r="C551" t="str">
            <v>ASISTENTE DE ADMISIONES</v>
          </cell>
        </row>
        <row r="552">
          <cell r="B552" t="str">
            <v>INTRIAGO ALCIVAR JOHANA ARACELY</v>
          </cell>
          <cell r="C552" t="str">
            <v>ENFERMERO/A 3</v>
          </cell>
        </row>
        <row r="553">
          <cell r="B553" t="str">
            <v>INTRIAGO BASURTO CINDY YARLETH</v>
          </cell>
          <cell r="C553" t="str">
            <v>TECNOLOGO MEDICO DE MEDICINA TRANSFUSIONAL 2</v>
          </cell>
        </row>
        <row r="554">
          <cell r="B554" t="str">
            <v>INTRIAGO CEDEÑO KATHERINE MONSERRATE</v>
          </cell>
          <cell r="C554" t="str">
            <v>ENFERMERO/A 3</v>
          </cell>
        </row>
        <row r="555">
          <cell r="B555" t="str">
            <v>INTRIAGO DOUGLAS FRANCISCO JAVIER</v>
          </cell>
          <cell r="C555" t="str">
            <v>AUXILIAR ADMINISTRATIVO DE SALUD DEL SECTOR SALUD</v>
          </cell>
        </row>
        <row r="556">
          <cell r="B556" t="str">
            <v>INTRIAGO GILER LEISBER RONALD</v>
          </cell>
          <cell r="C556" t="str">
            <v>ENFERMERO/A 3</v>
          </cell>
        </row>
        <row r="557">
          <cell r="B557" t="str">
            <v>INTRIAGO MARCILLO JOSE FERNANDO</v>
          </cell>
          <cell r="C557" t="str">
            <v>ASISTENTE DE ADMISIONES</v>
          </cell>
        </row>
        <row r="558">
          <cell r="B558" t="str">
            <v>INTRIAGO MEJIA MADELINE IBETH</v>
          </cell>
          <cell r="C558" t="str">
            <v>TECNOLOGO MEDICO DE REHABILITACION Y TERAPIA FISICA 2</v>
          </cell>
        </row>
        <row r="559">
          <cell r="B559" t="str">
            <v>INTRIAGO MENDOZA ARELI PATRICIA</v>
          </cell>
          <cell r="C559" t="str">
            <v>TECNOLOGO MEDICO DE IMAGENOLOGIA 3</v>
          </cell>
        </row>
        <row r="560">
          <cell r="B560" t="str">
            <v>INTRIAGO MENDOZA VICTOR HUGO</v>
          </cell>
          <cell r="C560" t="str">
            <v>MEDICO/A GENERAL EN FUNCIONES HOSPITALARIAS</v>
          </cell>
        </row>
        <row r="561">
          <cell r="B561" t="str">
            <v>INTRIAGO PISCO GUSTAVO ADOLFO</v>
          </cell>
          <cell r="C561" t="str">
            <v>MEDICO/A GENERAL EN FUNCIONES HOSPITALARIAS</v>
          </cell>
        </row>
        <row r="562">
          <cell r="B562" t="str">
            <v>INTRIAGO SOLORZANO CARLOS DANIEL</v>
          </cell>
          <cell r="C562" t="str">
            <v>MEDICO/A GENERAL EN FUNCIONES HOSPITALARIAS</v>
          </cell>
        </row>
        <row r="563">
          <cell r="B563" t="str">
            <v>INTRIAGO VIZUETA STALIN JAVIER</v>
          </cell>
          <cell r="C563" t="str">
            <v>ASISTENTE DE ADMISIONES</v>
          </cell>
        </row>
        <row r="564">
          <cell r="B564" t="str">
            <v>INTRIAGO ZAMBRANO CARMEN MARIA</v>
          </cell>
          <cell r="C564" t="str">
            <v>ENFERMERO/A 3</v>
          </cell>
        </row>
        <row r="565">
          <cell r="B565" t="str">
            <v>INTRIAGO ZAMBRANO CRISTOPHER FRANK</v>
          </cell>
          <cell r="C565" t="str">
            <v>AUXILIAR DE ENFERMERIA</v>
          </cell>
        </row>
        <row r="566">
          <cell r="B566" t="str">
            <v>IZA ANDRANGO LUIS HOLGUER</v>
          </cell>
          <cell r="C566" t="str">
            <v>MEDICO/A SUBESPECIALISTA EN CIRUGIA PEDIATRICA</v>
          </cell>
        </row>
        <row r="567">
          <cell r="B567" t="str">
            <v>JAMA SIAVICHAY RODOLFO JAVIER</v>
          </cell>
          <cell r="C567" t="str">
            <v>ENFERMERO/A 3</v>
          </cell>
        </row>
        <row r="568">
          <cell r="B568" t="str">
            <v>JARA SANTANA LURIEN MICHELLE</v>
          </cell>
          <cell r="C568" t="str">
            <v>MEDICO/A GENERAL EN FUNCIONES HOSPITALARIAS</v>
          </cell>
        </row>
        <row r="569">
          <cell r="B569" t="str">
            <v>JARAMILLO CANO CAROLIN ESTEFANIA</v>
          </cell>
          <cell r="C569" t="str">
            <v>ENFERMERO/A 3</v>
          </cell>
        </row>
        <row r="570">
          <cell r="B570" t="str">
            <v>JARAMILLO CHAVEZ MARA JOSSELYN</v>
          </cell>
          <cell r="C570" t="str">
            <v>MEDICO/A GENERAL EN FUNCIONES HOSPITALARIAS</v>
          </cell>
        </row>
        <row r="571">
          <cell r="B571" t="str">
            <v>JIMENEZ GUADAMUD KRISTHY NATHALY</v>
          </cell>
          <cell r="C571" t="str">
            <v>MEDICO/A GENERAL EN FUNCIONES HOSPITALARIAS</v>
          </cell>
        </row>
        <row r="572">
          <cell r="B572" t="str">
            <v>JIMENEZ VERA VERONICA GABRIELA</v>
          </cell>
          <cell r="C572" t="str">
            <v>AUXILIAR DE LABORATORIO</v>
          </cell>
        </row>
        <row r="573">
          <cell r="B573" t="str">
            <v>LAINES JIRON MARIA GABRIELA</v>
          </cell>
          <cell r="C573" t="str">
            <v>MEDICO/A GENERAL EN FUNCIONES HOSPITALARIAS</v>
          </cell>
        </row>
        <row r="574">
          <cell r="B574" t="str">
            <v>LAINEZ PERERO CYNTHIA ANTONELLA</v>
          </cell>
          <cell r="C574" t="str">
            <v>QUIMICO / BIOQUIMICO FARMACEUTICO 1</v>
          </cell>
        </row>
        <row r="575">
          <cell r="B575" t="str">
            <v>LANDAETA LUCENA JOEL ALEJANDRO</v>
          </cell>
          <cell r="C575" t="str">
            <v>MEDICO/A ESPECIALISTA EN UROLOGIA 1</v>
          </cell>
        </row>
        <row r="576">
          <cell r="B576" t="str">
            <v>LARA POGGI PAMELA JULIETA</v>
          </cell>
          <cell r="C576" t="str">
            <v>MEDICO/A ESPECIALISTA EN GASTROENTEROLOGIA 1</v>
          </cell>
        </row>
        <row r="577">
          <cell r="B577" t="str">
            <v>LARA PONCE KARLA XIMENA</v>
          </cell>
          <cell r="C577" t="str">
            <v>MEDICO/A ESPECIALISTA EN CUIDADOS INTENSIVOS 1</v>
          </cell>
        </row>
        <row r="578">
          <cell r="B578" t="str">
            <v>LARGACHA BARREIRO MONSERRATE LILIBETH</v>
          </cell>
          <cell r="C578" t="str">
            <v>MEDICO/A ESPECIALISTA EN GASTROENTEROLOGIA 1</v>
          </cell>
        </row>
        <row r="579">
          <cell r="B579" t="str">
            <v>LARRETA MOLINA IVONNE DAYSI</v>
          </cell>
          <cell r="C579" t="str">
            <v>AUXILIAR DE ENFERMERIA</v>
          </cell>
        </row>
        <row r="580">
          <cell r="B580" t="str">
            <v>LAUANDO SUASTI GIBRAN ALI</v>
          </cell>
          <cell r="C580" t="str">
            <v>MEDICO/A GENERAL EN FUNCIONES HOSPITALARIAS</v>
          </cell>
        </row>
        <row r="581">
          <cell r="B581" t="str">
            <v>LAUANDO SUASTI SHAYLI ELIZABETH</v>
          </cell>
          <cell r="C581" t="str">
            <v>MEDICO/A GENERAL EN FUNCIONES HOSPITALARIAS</v>
          </cell>
        </row>
        <row r="582">
          <cell r="B582" t="str">
            <v>LAYANA BERNAL VERONICA ASHLEY</v>
          </cell>
          <cell r="C582" t="str">
            <v>QUIMICO / BIOQUIMICO FARMACEUTICO 1</v>
          </cell>
        </row>
        <row r="583">
          <cell r="B583" t="str">
            <v>LEON MOSQUERA KARLA YAJAIRA</v>
          </cell>
          <cell r="C583" t="str">
            <v>ENFERMERO/A 3</v>
          </cell>
        </row>
        <row r="584">
          <cell r="B584" t="str">
            <v>LICOA MOREIRA WASHINGTON VICENTE</v>
          </cell>
          <cell r="C584" t="str">
            <v>ENFERMERO/A 3</v>
          </cell>
        </row>
        <row r="585">
          <cell r="B585" t="str">
            <v>LINO ALVAREZ CESAR LORGIO</v>
          </cell>
          <cell r="C585" t="str">
            <v>TECNOLOGO MEDICO DE MEDICINA TRANSFUSIONAL 2</v>
          </cell>
        </row>
        <row r="586">
          <cell r="B586" t="str">
            <v>LINO ALVAREZ MARIA BELEN</v>
          </cell>
          <cell r="C586" t="str">
            <v>TECNOLOGO MEDICO DE MEDICINA TRANSFUSIONAL 3</v>
          </cell>
        </row>
        <row r="587">
          <cell r="B587" t="str">
            <v>LINO ARAGUNDI MARIA MERCEDES</v>
          </cell>
          <cell r="C587" t="str">
            <v>ENFERMERO/A 3</v>
          </cell>
        </row>
        <row r="588">
          <cell r="B588" t="str">
            <v>LINO GUTIERREZ CLAYF ROBERTO</v>
          </cell>
          <cell r="C588" t="str">
            <v>MEDICO/A GENERAL EN FUNCIONES HOSPITALARIAS</v>
          </cell>
        </row>
        <row r="589">
          <cell r="B589" t="str">
            <v>LINO PARRALES LUIS DAVID</v>
          </cell>
          <cell r="C589" t="str">
            <v>ENFERMERO/A 3</v>
          </cell>
        </row>
        <row r="590">
          <cell r="B590" t="str">
            <v>LITARDO GARCIA EVELIN PATRICIA</v>
          </cell>
          <cell r="C590" t="str">
            <v>ENFERMERO/A 3</v>
          </cell>
        </row>
        <row r="591">
          <cell r="B591" t="str">
            <v>LIZANO MACIAS MARIA ISABEL</v>
          </cell>
          <cell r="C591" t="str">
            <v>MEDICO/A GENERAL EN FUNCIONES HOSPITALARIAS</v>
          </cell>
        </row>
        <row r="592">
          <cell r="B592" t="str">
            <v>LLORENTE MENDOZA ALBA DEL ROCIO</v>
          </cell>
          <cell r="C592" t="str">
            <v>MEDICO/A ESPECIALISTA EN NEFROLOGIA 1</v>
          </cell>
        </row>
        <row r="593">
          <cell r="B593" t="str">
            <v>LOOR ALCIVAR DOLORES ELIZABETH</v>
          </cell>
          <cell r="C593" t="str">
            <v>MEDICO/A ESPECIALISTA EN NEUROLOGIA 1</v>
          </cell>
        </row>
        <row r="594">
          <cell r="B594" t="str">
            <v>LOOR ALCIVAR MAYRA CELINDA</v>
          </cell>
          <cell r="C594" t="str">
            <v>MEDICO/A ESPECIALISTA EN ONCOLOGIA 1</v>
          </cell>
        </row>
        <row r="595">
          <cell r="B595" t="str">
            <v>LOOR BAQUE KEVIN DANIEL</v>
          </cell>
          <cell r="C595" t="str">
            <v>ENFERMERO/A 3</v>
          </cell>
        </row>
        <row r="596">
          <cell r="B596" t="str">
            <v>LOOR BRAVO EVELYN ZELENA</v>
          </cell>
          <cell r="C596" t="str">
            <v>TECNOLOGO MEDICO DE LABORATORIO 3</v>
          </cell>
        </row>
        <row r="597">
          <cell r="B597" t="str">
            <v>LOOR BRIONES JOSE GREGORIO</v>
          </cell>
          <cell r="C597" t="str">
            <v>MEDICO/A GENERAL EN FUNCIONES HOSPITALARIAS</v>
          </cell>
        </row>
        <row r="598">
          <cell r="B598" t="str">
            <v>LOOR CABAL ELENA MONSERRATE</v>
          </cell>
          <cell r="C598" t="str">
            <v>AUXILIAR DE ENFERMERIA</v>
          </cell>
        </row>
        <row r="599">
          <cell r="B599" t="str">
            <v>LOOR CABAL ESTRELLA DEL ROCIO</v>
          </cell>
          <cell r="C599" t="str">
            <v>AUXILIAR DE ENFERMERIA</v>
          </cell>
        </row>
        <row r="600">
          <cell r="B600" t="str">
            <v>LOOR CAICEDO JAVIER JAIR</v>
          </cell>
          <cell r="C600" t="str">
            <v>ENFERMERO/A 3</v>
          </cell>
        </row>
        <row r="601">
          <cell r="B601" t="str">
            <v>LOOR CASTRO KAREN LISBETH</v>
          </cell>
          <cell r="C601" t="str">
            <v>ENFERMERO/A 3</v>
          </cell>
        </row>
        <row r="602">
          <cell r="B602" t="str">
            <v>LOOR CEDEÑO GEMA DAYANA</v>
          </cell>
          <cell r="C602" t="str">
            <v>ENFERMERO/A 3</v>
          </cell>
        </row>
        <row r="603">
          <cell r="B603" t="str">
            <v>LOOR CEDEÑO JESSICA ISABEL</v>
          </cell>
          <cell r="C603" t="str">
            <v>TECNOLOGO MEDICO DE REHABILITACION Y TERAPIA FISICA 3</v>
          </cell>
        </row>
        <row r="604">
          <cell r="B604" t="str">
            <v>LOOR CEDEÑO MARIA EUGENIA</v>
          </cell>
          <cell r="C604" t="str">
            <v>TRABAJADOR/A SOCIAL INSTITUCIONAL</v>
          </cell>
        </row>
        <row r="605">
          <cell r="B605" t="str">
            <v>LOOR CORNEJO PAUL FABRICIO</v>
          </cell>
          <cell r="C605" t="str">
            <v>MEDICO/A GENERAL EN FUNCIONES HOSPITALARIAS</v>
          </cell>
        </row>
        <row r="606">
          <cell r="B606" t="str">
            <v>LOOR FLORES MARIA ALEJANDRA</v>
          </cell>
          <cell r="C606" t="str">
            <v>ENFERMERO/A 3</v>
          </cell>
          <cell r="D606" t="str">
            <v xml:space="preserve">RESP.SERV. UCIA </v>
          </cell>
        </row>
        <row r="607">
          <cell r="B607" t="str">
            <v>LOOR GARCIA WILLIAM YORDANO</v>
          </cell>
          <cell r="C607" t="str">
            <v>ASISTENTE DE SOPORTE TECNICO</v>
          </cell>
        </row>
        <row r="608">
          <cell r="B608" t="str">
            <v>LOOR GUILLEN MARICELA MABEL</v>
          </cell>
          <cell r="C608" t="str">
            <v>ENFERMERO/A 3</v>
          </cell>
        </row>
        <row r="609">
          <cell r="B609" t="str">
            <v>LOOR INTRIAGO RICARDO LEONIDAS</v>
          </cell>
          <cell r="C609" t="str">
            <v>MEDICO/A ESPECIALISTA EN CIRUGIA VASCULAR 1</v>
          </cell>
        </row>
        <row r="610">
          <cell r="B610" t="str">
            <v>LOOR LOOR CRISTINA ELIZABETH</v>
          </cell>
          <cell r="C610" t="str">
            <v>AUXILIAR DE ENFERMERIA</v>
          </cell>
        </row>
        <row r="611">
          <cell r="B611" t="str">
            <v>LOOR LOOR KENIA VICTORIA</v>
          </cell>
          <cell r="C611" t="str">
            <v>ENFERMERO/A 3</v>
          </cell>
        </row>
        <row r="612">
          <cell r="B612" t="str">
            <v>LOOR MACIAS JOSE RICARDO</v>
          </cell>
          <cell r="C612" t="str">
            <v>LABORATORISTA CLINICO 1</v>
          </cell>
        </row>
        <row r="613">
          <cell r="B613" t="str">
            <v>LOOR MERO MARIA ANGELICA</v>
          </cell>
          <cell r="C613" t="str">
            <v>ENFERMERO/A 3</v>
          </cell>
        </row>
        <row r="614">
          <cell r="B614" t="str">
            <v>LOOR MEZA ANDRES ALEJANDRO</v>
          </cell>
          <cell r="C614" t="str">
            <v>MEDICO/A GENERAL EN FUNCIONES HOSPITALARIAS</v>
          </cell>
        </row>
        <row r="615">
          <cell r="B615" t="str">
            <v>LOOR PINARGOTE KEYLA JAMILETH</v>
          </cell>
          <cell r="C615" t="str">
            <v>ENFERMERO/A 3</v>
          </cell>
        </row>
        <row r="616">
          <cell r="B616" t="str">
            <v>LOOR SACOTO RONALD EDUARDO</v>
          </cell>
          <cell r="C616" t="str">
            <v>MEDICO/A GENERAL EN FUNCIONES HOSPITALARIAS</v>
          </cell>
        </row>
        <row r="617">
          <cell r="B617" t="str">
            <v>LOOR SANTANA ALEXI DANIEL</v>
          </cell>
          <cell r="C617" t="str">
            <v>MEDICO/A ESPECIALISTA EN CIRUGIA VASCULAR 1</v>
          </cell>
        </row>
        <row r="618">
          <cell r="B618" t="str">
            <v>LOOR SOLORZANO MAYRA ELIZABETH</v>
          </cell>
          <cell r="C618" t="str">
            <v>TRABAJADOR/A SOCIAL 1</v>
          </cell>
        </row>
        <row r="619">
          <cell r="B619" t="str">
            <v>LOOR SORNOZA CARLOS ALBERTO</v>
          </cell>
          <cell r="C619" t="str">
            <v>ENFERMERO/A 3</v>
          </cell>
        </row>
        <row r="620">
          <cell r="B620" t="str">
            <v>LOOR VALENCIA ESTEFANIA ANNABELLY</v>
          </cell>
          <cell r="C620" t="str">
            <v>ENFERMERO/A 3</v>
          </cell>
        </row>
        <row r="621">
          <cell r="B621" t="str">
            <v>LOOR VERA BETTY MARIBEL</v>
          </cell>
          <cell r="C621" t="str">
            <v>ANALISTA DE ADMISIONES</v>
          </cell>
        </row>
        <row r="622">
          <cell r="B622" t="str">
            <v>LOOR ZAMBRANO CLAUDIA LILIANA</v>
          </cell>
          <cell r="C622" t="str">
            <v>ANALISTA DE TALENTO HUMANO 1</v>
          </cell>
        </row>
        <row r="623">
          <cell r="B623" t="str">
            <v>LOOR ZAMBRANO JUANA ESILDA</v>
          </cell>
          <cell r="C623" t="str">
            <v>ENFERMERO/A 3</v>
          </cell>
        </row>
        <row r="624">
          <cell r="B624" t="str">
            <v>LOOR ZAMBRANO MARIA JOSE</v>
          </cell>
          <cell r="C624" t="str">
            <v>MEDICO/A GENERAL EN FUNCIONES HOSPITALARIAS</v>
          </cell>
        </row>
        <row r="625">
          <cell r="B625" t="str">
            <v>LOOR ZAMBRANO MARY AZUCENA</v>
          </cell>
          <cell r="C625" t="str">
            <v>AUXILIAR DE ENFERMERIA</v>
          </cell>
        </row>
        <row r="626">
          <cell r="B626" t="str">
            <v>LOPEZ ANCHUNDIA ROSA MARGARITA</v>
          </cell>
          <cell r="C626" t="str">
            <v>ENFERMERO/A 3</v>
          </cell>
        </row>
        <row r="627">
          <cell r="B627" t="str">
            <v>LOPEZ ANDRADE ANGIE PRISCILLA</v>
          </cell>
          <cell r="C627" t="str">
            <v>LABORATORISTA CLINICO 1</v>
          </cell>
        </row>
        <row r="628">
          <cell r="B628" t="str">
            <v>LOPEZ BAILON LADY JULITZA</v>
          </cell>
          <cell r="C628" t="str">
            <v>TECNOLOGO MEDICO DE IMAGENOLOGIA 3</v>
          </cell>
        </row>
        <row r="629">
          <cell r="B629" t="str">
            <v>LOPEZ FLORES LISSETH KATHERINE</v>
          </cell>
          <cell r="C629" t="str">
            <v>ENFERMERO/A 3</v>
          </cell>
        </row>
        <row r="630">
          <cell r="B630" t="str">
            <v>LOPEZ GUERRA YOSMARY EMILIA</v>
          </cell>
          <cell r="C630" t="str">
            <v>MEDICO/A ESPECIALISTA EN NEUMOLOGIA 1</v>
          </cell>
        </row>
        <row r="631">
          <cell r="B631" t="str">
            <v>LOPEZ INTRIAGO OSWALDO ENRIQUE</v>
          </cell>
          <cell r="C631" t="str">
            <v>MEDICO/A GENERAL EN FUNCIONES HOSPITALARIAS</v>
          </cell>
        </row>
        <row r="632">
          <cell r="B632" t="str">
            <v>LOPEZ MERO CRISTHIAN ALEXANDER</v>
          </cell>
          <cell r="C632" t="str">
            <v>ENFERMERO/A 3</v>
          </cell>
        </row>
        <row r="633">
          <cell r="B633" t="str">
            <v>LOPEZ MONTERO NATALY ESTEFANIA</v>
          </cell>
          <cell r="C633" t="str">
            <v>QUIMICO / BIOQUIMICO FARMACEUTICO 1</v>
          </cell>
        </row>
        <row r="634">
          <cell r="B634" t="str">
            <v>LOPEZ PALMA ELSYE MONSERRATE</v>
          </cell>
          <cell r="C634" t="str">
            <v>LABORATORISTA CLINICO 1</v>
          </cell>
        </row>
        <row r="635">
          <cell r="B635" t="str">
            <v>LOPEZ RIVADENEIRA ROBERTO JOAO</v>
          </cell>
          <cell r="C635" t="str">
            <v>MEDICO/A GENERAL EN FUNCIONES HOSPITALARIAS</v>
          </cell>
        </row>
        <row r="636">
          <cell r="B636" t="str">
            <v>LOPEZ RUGEL LOYDA VIOLETA</v>
          </cell>
          <cell r="C636" t="str">
            <v>NUTRICIONISTA 2</v>
          </cell>
        </row>
        <row r="637">
          <cell r="B637" t="str">
            <v>LOPEZ ZAMBRANO AURA JOHANNA</v>
          </cell>
          <cell r="C637" t="str">
            <v>MEDICO/A GENERAL EN FUNCIONES HOSPITALARIAS</v>
          </cell>
        </row>
        <row r="638">
          <cell r="B638" t="str">
            <v>LOPEZ ZAMBRANO FATIMA ELENA</v>
          </cell>
          <cell r="C638" t="str">
            <v>MEDICO/A SUBESPECIALISTA EN MASTOLOGIA</v>
          </cell>
        </row>
        <row r="639">
          <cell r="B639" t="str">
            <v>LOPEZ ZAMBRANO GENESIS JOSCELINE</v>
          </cell>
          <cell r="C639" t="str">
            <v>ENFERMERO/A 3</v>
          </cell>
        </row>
        <row r="640">
          <cell r="B640" t="str">
            <v>LOPEZ ZAMBRANO WILMER GREGORIO</v>
          </cell>
          <cell r="C640" t="str">
            <v>TECNICO DE MANTENIMIENTO</v>
          </cell>
        </row>
        <row r="641">
          <cell r="B641" t="str">
            <v>LUCAS ARTEAGA KAREN MONSERRATE</v>
          </cell>
          <cell r="C641" t="str">
            <v>AUXILIAR DE ENFERMERIA</v>
          </cell>
        </row>
        <row r="642">
          <cell r="B642" t="str">
            <v>LUCAS HOLGUIN GENESSIS ALEXANDRA</v>
          </cell>
          <cell r="C642" t="str">
            <v>ENFERMERO/A 3</v>
          </cell>
        </row>
        <row r="643">
          <cell r="B643" t="str">
            <v>LUCAS MENDOZA ELVIS ADRIAN</v>
          </cell>
          <cell r="C643" t="str">
            <v>ENFERMERO/A 3</v>
          </cell>
        </row>
        <row r="644">
          <cell r="B644" t="str">
            <v>LUCAS PINCAY JAIME JAVIER</v>
          </cell>
          <cell r="C644" t="str">
            <v>TECNOLOGO MEDICO DE LABORATORIO 3</v>
          </cell>
        </row>
        <row r="645">
          <cell r="B645" t="str">
            <v>LUCAS TELLO SILVIA JANETH</v>
          </cell>
          <cell r="C645" t="str">
            <v>ENFERMERO/A 3</v>
          </cell>
        </row>
        <row r="646">
          <cell r="B646" t="str">
            <v>LUCAS TUMBACO IVONE JULISSA</v>
          </cell>
          <cell r="C646" t="str">
            <v>ENFERMERO/A 3</v>
          </cell>
        </row>
        <row r="647">
          <cell r="B647" t="str">
            <v>LUZURIAGA CABRERA JOHN XAVIER</v>
          </cell>
          <cell r="C647" t="str">
            <v>MEDICO/A ESPECIALISTA EN MEDICINA INTERNA 1</v>
          </cell>
        </row>
        <row r="648">
          <cell r="B648" t="str">
            <v>MACIAS ALMEIDA LOIS JESUS</v>
          </cell>
          <cell r="C648" t="str">
            <v>MEDICO/A GENERAL EN FUNCIONES HOSPITALARIAS</v>
          </cell>
        </row>
        <row r="649">
          <cell r="B649" t="str">
            <v>MACIAS CEDEÑO AYDE JULIANA</v>
          </cell>
          <cell r="C649" t="str">
            <v>ENFERMERO/A 3</v>
          </cell>
        </row>
        <row r="650">
          <cell r="B650" t="str">
            <v>MACIAS CEDEÑO GINGER LORENA</v>
          </cell>
          <cell r="C650" t="str">
            <v>MEDICO/A GENERAL EN FUNCIONES HOSPITALARIAS</v>
          </cell>
        </row>
        <row r="651">
          <cell r="B651" t="str">
            <v>MACIAS CEVALLOS DANNY FRANCISCO</v>
          </cell>
          <cell r="C651" t="str">
            <v>AUXILIAR ADMINISTRATIVO DE SALUD DEL SECTOR SALUD</v>
          </cell>
        </row>
        <row r="652">
          <cell r="B652" t="str">
            <v>MACIAS CUADROS PIERINA STEFANIA</v>
          </cell>
          <cell r="C652" t="str">
            <v>ENFERMERO/A 3</v>
          </cell>
        </row>
        <row r="653">
          <cell r="B653" t="str">
            <v>MACIAS FRANCO PEGGY PRISCILA</v>
          </cell>
          <cell r="C653" t="str">
            <v>MEDICO/A GENERAL EN FUNCIONES HOSPITALARIAS</v>
          </cell>
        </row>
        <row r="654">
          <cell r="B654" t="str">
            <v>MACIAS GARCIA FERNANDO ANTONIO</v>
          </cell>
          <cell r="C654" t="str">
            <v>MEDICO/A ESPECIALISTA EN MEDICINA FISICA Y REHABILITACION 1</v>
          </cell>
        </row>
        <row r="655">
          <cell r="B655" t="str">
            <v>MACIAS GARCIA JOSSELYN MARIBEL</v>
          </cell>
          <cell r="C655" t="str">
            <v>ENFERMERO/A 3</v>
          </cell>
        </row>
        <row r="656">
          <cell r="B656" t="str">
            <v>MACIAS GARCIA MERCY JANETH</v>
          </cell>
          <cell r="C656" t="str">
            <v>ENFERMERO/A 5</v>
          </cell>
        </row>
        <row r="657">
          <cell r="B657" t="str">
            <v>MACIAS IGLESIAS JORGE ALBERTO</v>
          </cell>
          <cell r="C657" t="str">
            <v>MEDICO/A ESPECIALISTA EN ENDOCRINOLOGIA 1</v>
          </cell>
        </row>
        <row r="658">
          <cell r="B658" t="str">
            <v>MACIAS LOOR MARIA ANGELICA</v>
          </cell>
          <cell r="C658" t="str">
            <v>AUXILIAR DE ENFERMERIA</v>
          </cell>
        </row>
        <row r="659">
          <cell r="B659" t="str">
            <v>MACIAS MACIAS GEMA GABRIELA</v>
          </cell>
          <cell r="C659" t="str">
            <v>ENFERMERO/A 3</v>
          </cell>
        </row>
        <row r="660">
          <cell r="B660" t="str">
            <v>MACIAS MEJIA MARIA GABRIELA</v>
          </cell>
          <cell r="C660" t="str">
            <v>PSICOLOGO/A CLINICO/A  1</v>
          </cell>
        </row>
        <row r="661">
          <cell r="B661" t="str">
            <v>MACIAS MOREIRA JENNIFER STEFANIA</v>
          </cell>
          <cell r="C661" t="str">
            <v>MEDICO/A GENERAL EN FUNCIONES HOSPITALARIAS</v>
          </cell>
        </row>
        <row r="662">
          <cell r="B662" t="str">
            <v>MACIAS PALMA IVAN XAVIER</v>
          </cell>
          <cell r="C662" t="str">
            <v>MEDICO/A GENERAL EN FUNCIONES HOSPITALARIAS</v>
          </cell>
        </row>
        <row r="663">
          <cell r="B663" t="str">
            <v>MACIAS SOLORZANO ANGELA VANESSA</v>
          </cell>
          <cell r="C663" t="str">
            <v>ENFERMERO/A 3</v>
          </cell>
        </row>
        <row r="664">
          <cell r="B664" t="str">
            <v>MACIAS TORRES EVELYN TIFFANY</v>
          </cell>
          <cell r="C664" t="str">
            <v>QUIMICO / BIOQUIMICO FARMACEUTICO 1</v>
          </cell>
        </row>
        <row r="665">
          <cell r="B665" t="str">
            <v>MACIAS VINCES ELVIS ALEXANDER</v>
          </cell>
          <cell r="C665" t="str">
            <v>MEDICO/A ESPECIALISTA EN NEFROLOGIA 1</v>
          </cell>
        </row>
        <row r="666">
          <cell r="B666" t="str">
            <v>MACIAS ZAMBRANO CRISTHIAN ALEJANDRO</v>
          </cell>
          <cell r="C666" t="str">
            <v>AUXILIAR DE ENFERMERIA</v>
          </cell>
        </row>
        <row r="667">
          <cell r="B667" t="str">
            <v>MACIAS ZAMORA MARIA PAULA</v>
          </cell>
          <cell r="C667" t="str">
            <v>ENFERMERO/A 3</v>
          </cell>
        </row>
        <row r="668">
          <cell r="B668" t="str">
            <v>MADRID CHOEZ KARLA GABRIELA</v>
          </cell>
          <cell r="C668" t="str">
            <v>LABORATORISTA CLINICO 1</v>
          </cell>
        </row>
        <row r="669">
          <cell r="B669" t="str">
            <v>MAGALLANES MEDINA JORGE MOISES</v>
          </cell>
          <cell r="C669" t="str">
            <v>QUIMICO / BIOQUIMICO FARMACEUTICO 1</v>
          </cell>
        </row>
        <row r="670">
          <cell r="B670" t="str">
            <v>MALLA VALDIVIEZO LUIS ALBERTO</v>
          </cell>
          <cell r="C670" t="str">
            <v>MEDICO/A ESPECIALISTA EN GINECOLOGIA 1</v>
          </cell>
        </row>
        <row r="671">
          <cell r="B671" t="str">
            <v>MANOBANDA ARIAS HECTOR EDUARDO</v>
          </cell>
          <cell r="C671" t="str">
            <v>TECNOLOGO MEDICO DE LABORATORIO 3</v>
          </cell>
        </row>
        <row r="672">
          <cell r="B672" t="str">
            <v>MANTUANO ANCHUNDIA HELEN VALERIA</v>
          </cell>
          <cell r="C672" t="str">
            <v>ENFERMERO/A 3</v>
          </cell>
        </row>
        <row r="673">
          <cell r="B673" t="str">
            <v>MANTUANO GARCIA JAILENE RAQUEL</v>
          </cell>
          <cell r="C673" t="str">
            <v>AUXILIAR DE FARMACIA</v>
          </cell>
        </row>
        <row r="674">
          <cell r="B674" t="str">
            <v>MANTUANO IBARRA KAREN YOMAIRA</v>
          </cell>
          <cell r="C674" t="str">
            <v>MEDICO/A GENERAL EN FUNCIONES HOSPITALARIAS</v>
          </cell>
        </row>
        <row r="675">
          <cell r="B675" t="str">
            <v>MANZABA BASURTO MIRIAM ARACELY</v>
          </cell>
          <cell r="C675" t="str">
            <v>MEDICO/A ESPECIALISTA EN CIRUGIA GENERAL 1</v>
          </cell>
        </row>
        <row r="676">
          <cell r="B676" t="str">
            <v>MARCILLO DELGADO HILDA ELENA</v>
          </cell>
          <cell r="C676" t="str">
            <v>TECNOLOGO MEDICO DE LABORATORIO 1</v>
          </cell>
        </row>
        <row r="677">
          <cell r="B677" t="str">
            <v>MARCILLO HIDALGO MARIA STEFANY</v>
          </cell>
          <cell r="C677" t="str">
            <v>ENFERMERO/A 3</v>
          </cell>
        </row>
        <row r="678">
          <cell r="B678" t="str">
            <v>MARCILLO OCHOA JIMMY ORLANDO</v>
          </cell>
          <cell r="C678" t="str">
            <v>AUXILIAR DE FARMACIA</v>
          </cell>
        </row>
        <row r="679">
          <cell r="B679" t="str">
            <v>MARCILLO PIN TATIANA CAROLINA</v>
          </cell>
          <cell r="C679" t="str">
            <v>MEDICO/A ESPECIALISTA EN MEDICINA INTERNA 1</v>
          </cell>
        </row>
        <row r="680">
          <cell r="B680" t="str">
            <v>MARCILLO PROAÑO ERICK XAVIER</v>
          </cell>
          <cell r="C680" t="str">
            <v>TECNOLOGO MEDICO DE LABORATORIO 1</v>
          </cell>
        </row>
        <row r="681">
          <cell r="B681" t="str">
            <v>MARCILLO QUIMBITA KARINA LISSETTE</v>
          </cell>
          <cell r="C681" t="str">
            <v>MEDICO/A GENERAL EN FUNCIONES HOSPITALARIAS</v>
          </cell>
        </row>
        <row r="682">
          <cell r="B682" t="str">
            <v>MARCILLO SALVATIERRA ALEX FABRICIO</v>
          </cell>
          <cell r="C682" t="str">
            <v>ENFERMERO/A 3</v>
          </cell>
          <cell r="D682" t="str">
            <v>RESPONSABLE SERV DIALISIS</v>
          </cell>
        </row>
        <row r="683">
          <cell r="B683" t="str">
            <v>MARCILLO TOALA GENESIS FERNANDA</v>
          </cell>
          <cell r="C683" t="str">
            <v>ENFERMERO/A 3</v>
          </cell>
        </row>
        <row r="684">
          <cell r="B684" t="str">
            <v>MARGARI ALVAREZ ALLISON BERENICE</v>
          </cell>
          <cell r="C684" t="str">
            <v>MEDICO/A GENERAL EN FUNCIONES HOSPITALARIAS</v>
          </cell>
        </row>
        <row r="685">
          <cell r="B685" t="str">
            <v>MARQUEZ ORTEGA BELMARY DESIREE</v>
          </cell>
          <cell r="C685" t="str">
            <v>ENFERMERO/A 4</v>
          </cell>
        </row>
        <row r="686">
          <cell r="B686" t="str">
            <v>MARRASQUIN LEONES ANDREA BELEN</v>
          </cell>
          <cell r="C686" t="str">
            <v>ENFERMERO/A 3</v>
          </cell>
        </row>
        <row r="687">
          <cell r="B687" t="str">
            <v>MARTINEZ CHAVEZ JUAN RICARDO</v>
          </cell>
          <cell r="C687" t="str">
            <v>ODONTOLOGO/A ESPECIALISTA EN CIRUGIA MAXILOFACIAL 3</v>
          </cell>
        </row>
        <row r="688">
          <cell r="B688" t="str">
            <v>MARTINEZ VELEZ ANDREA NARCIZA</v>
          </cell>
          <cell r="C688" t="str">
            <v>MEDICO/A GENERAL EN FUNCIONES HOSPITALARIAS</v>
          </cell>
        </row>
        <row r="689">
          <cell r="B689" t="str">
            <v>MATUTE LUCAS LUIS EFREN</v>
          </cell>
          <cell r="C689" t="str">
            <v>TECNOLOGO MEDICO DE LABORATORIO 3</v>
          </cell>
        </row>
        <row r="690">
          <cell r="B690" t="str">
            <v>MAYORGA VILLAMAR VICTOR ALFONSO</v>
          </cell>
          <cell r="C690" t="str">
            <v>QUIMICO / BIOQUIMICO FARMACEUTICO 1</v>
          </cell>
        </row>
        <row r="691">
          <cell r="B691" t="str">
            <v>MAZAMBA ROMERO DELSITA YOLITA</v>
          </cell>
          <cell r="C691" t="str">
            <v>AUXILIAR DE ENFERMERIA</v>
          </cell>
        </row>
        <row r="692">
          <cell r="B692" t="str">
            <v>MEDINA CHICA PABLINA MONSERRATE</v>
          </cell>
          <cell r="C692" t="str">
            <v>ENFERMERO/A 3</v>
          </cell>
        </row>
        <row r="693">
          <cell r="B693" t="str">
            <v>MEDINA GUAJALA EDISON JAVIER</v>
          </cell>
          <cell r="C693" t="str">
            <v>MEDICO/A ESPECIALISTA EN ANESTESIOLOGIA 1</v>
          </cell>
        </row>
        <row r="694">
          <cell r="B694" t="str">
            <v>MEDRANDA BRAVO RICHARD ELI</v>
          </cell>
          <cell r="C694" t="str">
            <v>ENFERMERO/A 3</v>
          </cell>
        </row>
        <row r="695">
          <cell r="B695" t="str">
            <v>MEDRANDA SANTOS DIANA GABRIELA</v>
          </cell>
          <cell r="C695" t="str">
            <v>MEDICO/A ESPECIALISTA EN CARDIOLOGIA 1</v>
          </cell>
        </row>
        <row r="696">
          <cell r="B696" t="str">
            <v>MEDRANDA ZAMBRANO CINTHIA CAROLINA</v>
          </cell>
          <cell r="C696" t="str">
            <v>AUXILIAR DE ENFERMERIA</v>
          </cell>
        </row>
        <row r="697">
          <cell r="B697" t="str">
            <v>MEJIA PACHECO ZOILA ESPERANZA</v>
          </cell>
          <cell r="C697" t="str">
            <v>ENFERMERO/A 3</v>
          </cell>
        </row>
        <row r="698">
          <cell r="B698" t="str">
            <v>MEJIA VILLEGAS LORENA MONSERRATE</v>
          </cell>
          <cell r="C698" t="str">
            <v>ENFERMERO/A 3</v>
          </cell>
        </row>
        <row r="699">
          <cell r="B699" t="str">
            <v>MENA DE LA CRUZ ROMMEL ANDRES</v>
          </cell>
          <cell r="C699" t="str">
            <v>ANALISTA DE ELECTRICA-ELECTRONICA</v>
          </cell>
        </row>
        <row r="700">
          <cell r="B700" t="str">
            <v>MENA ORMAZA JORGE ENRIQUE</v>
          </cell>
          <cell r="C700" t="str">
            <v>TECNOLOGO MEDICO DE IMAGENOLOGIA 2</v>
          </cell>
        </row>
        <row r="701">
          <cell r="B701" t="str">
            <v>MENA VALLADAREZ DAYANARA MARGOTH</v>
          </cell>
          <cell r="C701" t="str">
            <v>QUIMICO / BIOQUIMICO FARMACEUTICO 1</v>
          </cell>
        </row>
        <row r="702">
          <cell r="B702" t="str">
            <v>MENAY QUITO LEYDI MONSERRATE</v>
          </cell>
          <cell r="C702" t="str">
            <v>AUXILIAR DE ENFERMERIA</v>
          </cell>
        </row>
        <row r="703">
          <cell r="B703" t="str">
            <v>MENDEZ FIERRO KEVIN ANTHONY</v>
          </cell>
          <cell r="C703" t="str">
            <v>ENFERMERO/A 3</v>
          </cell>
        </row>
        <row r="704">
          <cell r="B704" t="str">
            <v>MENDIETA GONZALEZ MARIA DENNYS</v>
          </cell>
          <cell r="C704" t="str">
            <v>MEDICO/A GENERAL EN FUNCIONES HOSPITALARIAS</v>
          </cell>
        </row>
        <row r="705">
          <cell r="B705" t="str">
            <v>MENDOZA ARGANDOÑA CESAR AUGUSTO</v>
          </cell>
          <cell r="C705" t="str">
            <v>MEDICO/A ESPECIALISTA EN IMAGENOLOGIA/RADIOLOGIA 1</v>
          </cell>
        </row>
        <row r="706">
          <cell r="B706" t="str">
            <v>MENDOZA CEDEÑO LAURA INES</v>
          </cell>
          <cell r="C706" t="str">
            <v>TECNOLOGO MEDICO DE REHABILITACION Y TERAPIA FISICA 2</v>
          </cell>
        </row>
        <row r="707">
          <cell r="B707" t="str">
            <v>MENDOZA CEVALLOS CLAUDIO MARIANO</v>
          </cell>
          <cell r="C707" t="str">
            <v>MEDICO/A ESPECIALISTA EN NEUROCIRUGIA 1</v>
          </cell>
        </row>
        <row r="708">
          <cell r="B708" t="str">
            <v>MENDOZA CEVALLOS MARIA PATRICIA</v>
          </cell>
          <cell r="C708" t="str">
            <v>MEDICO/A ESPECIALISTA EN NEUROCIRUGIA 1</v>
          </cell>
        </row>
        <row r="709">
          <cell r="B709" t="str">
            <v>MENDOZA CHICA SILVIA NATALY</v>
          </cell>
          <cell r="C709" t="str">
            <v>ENFERMERO/A 3</v>
          </cell>
        </row>
        <row r="710">
          <cell r="B710" t="str">
            <v>MENDOZA DAZA MARTHA MARIA</v>
          </cell>
          <cell r="C710" t="str">
            <v>TERAPISTA DE PSICOREHABILITACION 1</v>
          </cell>
        </row>
        <row r="711">
          <cell r="B711" t="str">
            <v>MENDOZA DE LA CRUZ CLAUDIA ELIZABETH</v>
          </cell>
          <cell r="C711" t="str">
            <v>ANALISTA DE ADQUISICIONES 1</v>
          </cell>
        </row>
        <row r="712">
          <cell r="B712" t="str">
            <v>MENDOZA DELGADO ALBERTO SALVADOR</v>
          </cell>
          <cell r="C712" t="str">
            <v>TECNOLOGO MEDICO DE LABORATORIO 3</v>
          </cell>
        </row>
        <row r="713">
          <cell r="B713" t="str">
            <v>MENDOZA FARIAS ANDREA JANINA</v>
          </cell>
          <cell r="C713" t="str">
            <v>ENFERMERO/A 3</v>
          </cell>
        </row>
        <row r="714">
          <cell r="B714" t="str">
            <v>MENDOZA GARCIA SHIRLEY ESTHER</v>
          </cell>
          <cell r="C714" t="str">
            <v>ENFERMERO/A 3</v>
          </cell>
        </row>
        <row r="715">
          <cell r="B715" t="str">
            <v>MENDOZA GARCIA WILMER RAPHAEL</v>
          </cell>
          <cell r="C715" t="str">
            <v>MEDICO/A GENERAL EN FUNCIONES HOSPITALARIAS</v>
          </cell>
        </row>
        <row r="716">
          <cell r="B716" t="str">
            <v>MENDOZA GUERRERO KELVIN REINALDO</v>
          </cell>
          <cell r="C716" t="str">
            <v>MEDICO/A ESPECIALISTA EN REUMATOLOGIA 1</v>
          </cell>
        </row>
        <row r="717">
          <cell r="B717" t="str">
            <v>MENDOZA GUTIERREZ ANGELICA JANETH</v>
          </cell>
          <cell r="C717" t="str">
            <v>ENFERMERO/A 3</v>
          </cell>
        </row>
        <row r="718">
          <cell r="B718" t="str">
            <v>MENDOZA HERNANDEZ CINTHYA BEATRIZ</v>
          </cell>
          <cell r="C718" t="str">
            <v>NUTRICIONISTA 2</v>
          </cell>
        </row>
        <row r="719">
          <cell r="B719" t="str">
            <v>MENDOZA LOOR CARMEN MARGARITA</v>
          </cell>
          <cell r="C719" t="str">
            <v>TECNOLOGO MEDICO DE LABORATORIO 1</v>
          </cell>
        </row>
        <row r="720">
          <cell r="B720" t="str">
            <v>MENDOZA MACIAS CESAR EDMUNDO</v>
          </cell>
          <cell r="C720" t="str">
            <v>ENFERMERO/A 3</v>
          </cell>
        </row>
        <row r="721">
          <cell r="B721" t="str">
            <v>MENDOZA MACIAS JOHANNA MARISELA</v>
          </cell>
          <cell r="C721" t="str">
            <v>ENFERMERO/A 3</v>
          </cell>
        </row>
        <row r="722">
          <cell r="B722" t="str">
            <v>MENDOZA MEJIA GENESIS ALEXANDRA</v>
          </cell>
          <cell r="C722" t="str">
            <v>MEDICO/A GENERAL EN FUNCIONES HOSPITALARIAS</v>
          </cell>
        </row>
        <row r="723">
          <cell r="B723" t="str">
            <v>MENDOZA MENENDEZ CARLA ESTEFANIA</v>
          </cell>
          <cell r="C723" t="str">
            <v>ASISTENTE DE ADMISIONES</v>
          </cell>
        </row>
        <row r="724">
          <cell r="B724" t="str">
            <v>MENDOZA MERO DIANA LICETH</v>
          </cell>
          <cell r="C724" t="str">
            <v>ENFERMERO/A 3</v>
          </cell>
        </row>
        <row r="725">
          <cell r="B725" t="str">
            <v>MENDOZA MOREIRA ESTEFANIA CAROLINA</v>
          </cell>
          <cell r="C725" t="str">
            <v>ENFERMERO/A 3</v>
          </cell>
        </row>
        <row r="726">
          <cell r="B726" t="str">
            <v>MENDOZA MUÑOZ RONALD LINCOLNS</v>
          </cell>
          <cell r="C726" t="str">
            <v>MEDICO/A SUBESPECIALISTA EN ENDOCRINOLOGIA PEDIATRICA</v>
          </cell>
        </row>
        <row r="727">
          <cell r="B727" t="str">
            <v>MENDOZA MURILLO JENNIFER JAMILETH</v>
          </cell>
          <cell r="C727" t="str">
            <v>ENFERMERO/A 3</v>
          </cell>
        </row>
        <row r="728">
          <cell r="B728" t="str">
            <v>MENDOZA NAVARRETE STEFANY VALERIA</v>
          </cell>
          <cell r="C728" t="str">
            <v>MEDICO/A ESPECIALISTA EN ANESTESIOLOGIA 1</v>
          </cell>
          <cell r="D728" t="str">
            <v>RESP CENTRO QUIRURGICO</v>
          </cell>
        </row>
        <row r="729">
          <cell r="B729" t="str">
            <v>MENDOZA NAVIA MARITZA LEONOR</v>
          </cell>
          <cell r="C729" t="str">
            <v>AUXILIAR DE ENFERMERIA</v>
          </cell>
        </row>
        <row r="730">
          <cell r="B730" t="str">
            <v>MENDOZA ORTIZ DENNY ADRIAN</v>
          </cell>
          <cell r="C730" t="str">
            <v>TECNOLOGO MEDICO DE LABORATORIO 1</v>
          </cell>
        </row>
        <row r="731">
          <cell r="B731" t="str">
            <v>MENDOZA PARRAGA HUGO DAVID</v>
          </cell>
          <cell r="C731" t="str">
            <v>LABORATORISTA CLINICO 1</v>
          </cell>
        </row>
        <row r="732">
          <cell r="B732" t="str">
            <v>MENDOZA PICO VALERIA VALENTINA</v>
          </cell>
          <cell r="C732" t="str">
            <v>MEDICO/A GENERAL EN FUNCIONES HOSPITALARIAS</v>
          </cell>
        </row>
        <row r="733">
          <cell r="B733" t="str">
            <v>MENDOZA REZABALA ALEXI LEONEL</v>
          </cell>
          <cell r="C733" t="str">
            <v>AUXILIAR ADMINISTRATIVO DE SALUD DEL SECTOR SALUD</v>
          </cell>
        </row>
        <row r="734">
          <cell r="B734" t="str">
            <v>MENDOZA RIVADENEIRA CRISTHIAN ALFREDO</v>
          </cell>
          <cell r="C734" t="str">
            <v>NUTRICIONISTA 1</v>
          </cell>
        </row>
        <row r="735">
          <cell r="B735" t="str">
            <v>MENDOZA SANTOS HORACIO HUMBERTO</v>
          </cell>
          <cell r="C735" t="str">
            <v>MEDICO/A GENERAL EN FUNCIONES HOSPITALARIAS</v>
          </cell>
        </row>
        <row r="736">
          <cell r="B736" t="str">
            <v>MENDOZA VELIZ CINDY MARISOL</v>
          </cell>
          <cell r="C736" t="str">
            <v>ENFERMERO/A 3</v>
          </cell>
        </row>
        <row r="737">
          <cell r="B737" t="str">
            <v>MENDOZA ZAMBRANO MARIELA LUCIA</v>
          </cell>
          <cell r="C737" t="str">
            <v>AUXILIAR DE ENFERMERIA</v>
          </cell>
        </row>
        <row r="738">
          <cell r="B738" t="str">
            <v>MENENDEZ ARTEAGA DANIELA JOSSENKA</v>
          </cell>
          <cell r="C738" t="str">
            <v>ENFERMERO/A 3</v>
          </cell>
        </row>
        <row r="739">
          <cell r="B739" t="str">
            <v>MENENDEZ CASTRO OSCAR RICARDO</v>
          </cell>
          <cell r="C739" t="str">
            <v>TECNOLOGO MEDICO DE MEDICINA TRANSFUSIONAL 3</v>
          </cell>
        </row>
        <row r="740">
          <cell r="B740" t="str">
            <v>MENENDEZ GARCIA JOSE LUIS</v>
          </cell>
          <cell r="C740" t="str">
            <v>ENFERMERO/A 3</v>
          </cell>
        </row>
        <row r="741">
          <cell r="B741" t="str">
            <v>MENENDEZ LOPEZ JOEL EDUARDO</v>
          </cell>
          <cell r="C741" t="str">
            <v>MEDICO/A GENERAL EN FUNCIONES HOSPITALARIAS</v>
          </cell>
        </row>
        <row r="742">
          <cell r="B742" t="str">
            <v>MENENDEZ MOLINA CARLOS EDUARDO</v>
          </cell>
          <cell r="C742" t="str">
            <v>MEDICO/A GENERAL EN FUNCIONES HOSPITALARIAS</v>
          </cell>
        </row>
        <row r="743">
          <cell r="B743" t="str">
            <v>MENENDEZ PALACIOS MARIA CECILIA</v>
          </cell>
          <cell r="C743" t="str">
            <v>ANALISTA DE TALENTO HUMANO 1</v>
          </cell>
        </row>
        <row r="744">
          <cell r="B744" t="str">
            <v>MENENDEZ PICO TELMO ALEXANDER</v>
          </cell>
          <cell r="C744" t="str">
            <v>AUXILIAR ADMINISTRATIVO DE SALUD DEL SECTOR SALUD</v>
          </cell>
        </row>
        <row r="745">
          <cell r="B745" t="str">
            <v>MENENDEZ PIN ROBINSON RAMON</v>
          </cell>
          <cell r="C745" t="str">
            <v>ENFERMERO/A 3</v>
          </cell>
        </row>
        <row r="746">
          <cell r="B746" t="str">
            <v>MENENDEZ SALTOS JONATHAN GABRIEL</v>
          </cell>
          <cell r="C746" t="str">
            <v>MEDICO/A GENERAL EN FUNCIONES HOSPITALARIAS</v>
          </cell>
        </row>
        <row r="747">
          <cell r="B747" t="str">
            <v>MERA BERMUDEZ JEIKO JESUS</v>
          </cell>
          <cell r="C747" t="str">
            <v>AUXILIAR ADMINISTRATIVO DE SALUD DEL SECTOR SALUD</v>
          </cell>
        </row>
        <row r="748">
          <cell r="B748" t="str">
            <v>MERA CASTRO ERIKA NOHELIA</v>
          </cell>
          <cell r="C748" t="str">
            <v>TERAPISTA DE PSICOREHABILITACION 1</v>
          </cell>
        </row>
        <row r="749">
          <cell r="B749" t="str">
            <v>MERA CEVALLOS SONIA ROXANA</v>
          </cell>
          <cell r="C749" t="str">
            <v>ENFERMERO/A 3</v>
          </cell>
        </row>
        <row r="750">
          <cell r="B750" t="str">
            <v>MERA GARCIA JORGE LUIS</v>
          </cell>
          <cell r="C750" t="str">
            <v>ANALISTA DE ASESORIA JURIDICA 3</v>
          </cell>
        </row>
        <row r="751">
          <cell r="B751" t="str">
            <v>MERA GUANOLUISA ERICK ALEXANDER</v>
          </cell>
          <cell r="C751" t="str">
            <v>AUXILIAR DE ENFERMERIA</v>
          </cell>
        </row>
        <row r="752">
          <cell r="B752" t="str">
            <v>MERA MACIAS CINTHIA LISBETH</v>
          </cell>
          <cell r="C752" t="str">
            <v>ASISTENTE DE ADMISIONES</v>
          </cell>
        </row>
        <row r="753">
          <cell r="B753" t="str">
            <v>MERA MORA JOSEPH RONALDO</v>
          </cell>
          <cell r="C753" t="str">
            <v>AUXILIAR DE ENFERMERIA</v>
          </cell>
        </row>
        <row r="754">
          <cell r="B754" t="str">
            <v>MERA PICO JOHNNY STEEVEN</v>
          </cell>
          <cell r="C754" t="str">
            <v>AUXILIAR DE ENFERMERIA</v>
          </cell>
        </row>
        <row r="755">
          <cell r="B755" t="str">
            <v>MERINO PERALTA CARLOS JAVIER</v>
          </cell>
          <cell r="C755" t="str">
            <v>MEDICO/A ESPECIALISTA EN NEUMOLOGIA 1</v>
          </cell>
        </row>
        <row r="756">
          <cell r="B756" t="str">
            <v>MERO BRAVO KATIUSKA ROCIO</v>
          </cell>
          <cell r="C756" t="str">
            <v>NUTRICIONISTA 1</v>
          </cell>
        </row>
        <row r="757">
          <cell r="B757" t="str">
            <v>MERO CAICEDO MELISA ESTEFANIA</v>
          </cell>
          <cell r="C757" t="str">
            <v>ENFERMERO/A 3</v>
          </cell>
        </row>
        <row r="758">
          <cell r="B758" t="str">
            <v>MERO CEDEÑO GISSELA MARIUXI</v>
          </cell>
          <cell r="C758" t="str">
            <v>AUXILIAR DE ENFERMERIA</v>
          </cell>
        </row>
        <row r="759">
          <cell r="B759" t="str">
            <v>MERO FARFAN INGRID JOCELYN</v>
          </cell>
          <cell r="C759" t="str">
            <v>TECNOLOGO MEDICO DE REHABILITACION Y TERAPIA FISICA 2</v>
          </cell>
        </row>
        <row r="760">
          <cell r="B760" t="str">
            <v>MERO FRANCO LILIANA ELIZABETH</v>
          </cell>
          <cell r="C760" t="str">
            <v>ENFERMERO/A 3</v>
          </cell>
        </row>
        <row r="761">
          <cell r="B761" t="str">
            <v>MERO GARCIA ALEJANDRO FABIAN</v>
          </cell>
          <cell r="C761" t="str">
            <v>ANALISTA DE TECNOLOGIA DE INFORMACION Y COMUNICACIONES 3</v>
          </cell>
        </row>
        <row r="762">
          <cell r="B762" t="str">
            <v>MERO GARCIA MARIA LISBETH</v>
          </cell>
          <cell r="C762" t="str">
            <v>ANALISTA DE ACTIVOS FIJOS 1</v>
          </cell>
          <cell r="D762" t="str">
            <v xml:space="preserve">RESP. ACTIVOS FIJOS </v>
          </cell>
        </row>
        <row r="763">
          <cell r="B763" t="str">
            <v>MERO MARCILLO MARTHA CECILIA</v>
          </cell>
          <cell r="C763" t="str">
            <v>ENFERMERO/A 3</v>
          </cell>
        </row>
        <row r="764">
          <cell r="B764" t="str">
            <v>MERO MERA KARINA ELIZABETH</v>
          </cell>
          <cell r="C764" t="str">
            <v>TECNOLOGO MEDICO DE REHABILITACION Y TERAPIA FISICA 3</v>
          </cell>
        </row>
        <row r="765">
          <cell r="B765" t="str">
            <v>MERO MERA SINDY MARIA</v>
          </cell>
          <cell r="C765" t="str">
            <v>ENFERMERO/A 3</v>
          </cell>
        </row>
        <row r="766">
          <cell r="B766" t="str">
            <v>MERO VILLIGUA NOEL IVAN</v>
          </cell>
          <cell r="C766" t="str">
            <v>ASISTENTE DE ADMISIONES</v>
          </cell>
        </row>
        <row r="767">
          <cell r="B767" t="str">
            <v>MERO ZAMBRANO NEREIDA ISABEL</v>
          </cell>
          <cell r="C767" t="str">
            <v>AUXILIAR DE ENFERMERIA</v>
          </cell>
        </row>
        <row r="768">
          <cell r="B768" t="str">
            <v>MEZA ALCIVAR CRISTHIAN UNIVERSI</v>
          </cell>
          <cell r="C768" t="str">
            <v>AUXILIAR ADMINISTRATIVO DE SALUD DEL SECTOR SALUD</v>
          </cell>
        </row>
        <row r="769">
          <cell r="B769" t="str">
            <v>MEZA ALCIVAR JUAN CARLOS</v>
          </cell>
          <cell r="C769" t="str">
            <v>MEDICO/A ESPECIALISTA EN TRAUMATOLOGIA 1</v>
          </cell>
        </row>
        <row r="770">
          <cell r="B770" t="str">
            <v>MEZA ANTON MARIA JOSE</v>
          </cell>
          <cell r="C770" t="str">
            <v>MEDICO/A ESPECIALISTA EN ENDOCRINOLOGIA 1</v>
          </cell>
        </row>
        <row r="771">
          <cell r="B771" t="str">
            <v>MEZA BURGOS MARIA LAURA</v>
          </cell>
          <cell r="C771" t="str">
            <v>TECNOLOGO MEDICO DE REHABILITACION Y TERAPIA FISICA 1</v>
          </cell>
        </row>
        <row r="772">
          <cell r="B772" t="str">
            <v>MEZA LUNA MARTHA PATRICIA</v>
          </cell>
          <cell r="C772" t="str">
            <v>MEDICO/A ESPECIALISTA EN MEDICINA INTERNA 1</v>
          </cell>
        </row>
        <row r="773">
          <cell r="B773" t="str">
            <v>MEZA ZAMBRANO JAMPHIER MIGUEL</v>
          </cell>
          <cell r="C773" t="str">
            <v>TECNOLOGO MEDICO DE IMAGENOLOGIA 2</v>
          </cell>
        </row>
        <row r="774">
          <cell r="B774" t="str">
            <v>MIELES MIELES MARIA MERCEDES</v>
          </cell>
          <cell r="C774" t="str">
            <v>MEDICO/A ESPECIALISTA EN PEDIATRIA 1</v>
          </cell>
        </row>
        <row r="775">
          <cell r="B775" t="str">
            <v>MIELES PINCAY KAROLINA ISABEL</v>
          </cell>
          <cell r="C775" t="str">
            <v>PSICOLOGO/A CLINICO/A  1</v>
          </cell>
        </row>
        <row r="776">
          <cell r="B776" t="str">
            <v>MIER Y TERAN DE PINTO DAYANA MARGOT</v>
          </cell>
          <cell r="C776" t="str">
            <v>MEDICO/A ESPECIALISTA EN PEDIATRIA 1</v>
          </cell>
        </row>
        <row r="777">
          <cell r="B777" t="str">
            <v>MINDIOLAZA SALAZAR MOISES DAVID</v>
          </cell>
          <cell r="C777" t="str">
            <v>TECNOLOGO MEDICO DE REHABILITACION Y TERAPIA FISICA 2</v>
          </cell>
        </row>
        <row r="778">
          <cell r="B778" t="str">
            <v>MOLINA ESPINOZA DIANA GABRIELA</v>
          </cell>
          <cell r="C778" t="str">
            <v>ENFERMERO/A 3</v>
          </cell>
        </row>
        <row r="779">
          <cell r="B779" t="str">
            <v>MOLINA GARCIA JOHANA KATHERINE</v>
          </cell>
          <cell r="C779" t="str">
            <v>ENFERMERO/A 3</v>
          </cell>
        </row>
        <row r="780">
          <cell r="B780" t="str">
            <v>MOLINA LOPEZ ANDY GIUSEPPE</v>
          </cell>
          <cell r="C780" t="str">
            <v>MEDICO/A GENERAL EN FUNCIONES HOSPITALARIAS</v>
          </cell>
        </row>
        <row r="781">
          <cell r="B781" t="str">
            <v>MOLINA MOREIRA ERICK JAIR</v>
          </cell>
          <cell r="C781" t="str">
            <v>MEDICO/A GENERAL EN FUNCIONES HOSPITALARIAS</v>
          </cell>
        </row>
        <row r="782">
          <cell r="B782" t="str">
            <v>MOLINA MOREIRA YANIRA ZULEYMA</v>
          </cell>
          <cell r="C782" t="str">
            <v>ENFERMERO/A 3</v>
          </cell>
        </row>
        <row r="783">
          <cell r="B783" t="str">
            <v>MOLINA PINARGOTE ANDREA GABRIELA</v>
          </cell>
          <cell r="C783" t="str">
            <v>ANALISTA DE SERVICIOS GENERALES 1</v>
          </cell>
        </row>
        <row r="784">
          <cell r="B784" t="str">
            <v>MOLINA ZAMBRANO ANDREA KARINA</v>
          </cell>
          <cell r="C784" t="str">
            <v>MEDICO/A GENERAL EN FUNCIONES HOSPITALARIAS</v>
          </cell>
        </row>
        <row r="785">
          <cell r="B785" t="str">
            <v>MOLINA ZAMBRANO JOSE ALEJANDRO</v>
          </cell>
          <cell r="C785" t="str">
            <v>MEDICO/A GENERAL EN FUNCIONES HOSPITALARIAS</v>
          </cell>
        </row>
        <row r="786">
          <cell r="B786" t="str">
            <v>MONCADA SANCHEZ MARIA DE LOS ANGELES</v>
          </cell>
          <cell r="C786" t="str">
            <v>TECNOLOGO MEDICO DE REHABILITACION Y TERAPIA FISICA 3</v>
          </cell>
        </row>
        <row r="787">
          <cell r="B787" t="str">
            <v>MONGE CONSTANTE KELLY GEMA</v>
          </cell>
          <cell r="C787" t="str">
            <v>ENFERMERO/A 3</v>
          </cell>
        </row>
        <row r="788">
          <cell r="B788" t="str">
            <v>MONSERRATE MENDOZA JOSE ENRIQUE</v>
          </cell>
          <cell r="C788" t="str">
            <v>MEDICO/A ESPECIALISTA EN EMERGENCIAS Y DESASTRES 1</v>
          </cell>
        </row>
        <row r="789">
          <cell r="B789" t="str">
            <v>MONTALVAN ALAVA EVELIN CAROLINA</v>
          </cell>
          <cell r="C789" t="str">
            <v>MEDICO/A ESPECIALISTA EN UROLOGIA 1</v>
          </cell>
        </row>
        <row r="790">
          <cell r="B790" t="str">
            <v>MONTAÑO CHAVEZ KAREN GABRIELA</v>
          </cell>
          <cell r="C790" t="str">
            <v>QUIMICO / BIOQUIMICO FARMACEUTICO 1</v>
          </cell>
          <cell r="D790" t="str">
            <v xml:space="preserve">RESP GESTION FARMACIA </v>
          </cell>
        </row>
        <row r="791">
          <cell r="B791" t="str">
            <v>MONTEALEGRE PAREDES JHON JAIRO</v>
          </cell>
          <cell r="C791" t="str">
            <v>AUXILIAR DE ENFERMERIA</v>
          </cell>
        </row>
        <row r="792">
          <cell r="B792" t="str">
            <v>MONTES GOMEZ MERCEDES KATHERINE</v>
          </cell>
          <cell r="C792" t="str">
            <v>AUXILIAR DE LABORATORIO</v>
          </cell>
        </row>
        <row r="793">
          <cell r="B793" t="str">
            <v>MONTES MOREIRA KARLA ANDREINA</v>
          </cell>
          <cell r="C793" t="str">
            <v>MEDICO/A GENERAL EN FUNCIONES HOSPITALARIAS</v>
          </cell>
        </row>
        <row r="794">
          <cell r="B794" t="str">
            <v>MONTES MUÑOZ ADRIANA MARGARITA</v>
          </cell>
          <cell r="C794" t="str">
            <v>ENFERMERO/A 3</v>
          </cell>
        </row>
        <row r="795">
          <cell r="B795" t="str">
            <v>MONTES QUIROZ GENESSIS YARITZA</v>
          </cell>
          <cell r="C795" t="str">
            <v>MEDICO/A GENERAL EN FUNCIONES HOSPITALARIAS</v>
          </cell>
        </row>
        <row r="796">
          <cell r="B796" t="str">
            <v>MONTESDEOCA JACOME DAMIAN ALEXANDER</v>
          </cell>
          <cell r="C796" t="str">
            <v>ENFERMERO/A 3</v>
          </cell>
        </row>
        <row r="797">
          <cell r="B797" t="str">
            <v>MONTESDEOCA MONTESDEOCA CRISTINA ANNABEL</v>
          </cell>
          <cell r="C797" t="str">
            <v>MEDICO/A ESPECIALISTA EN CUIDADOS INTENSIVOS 1</v>
          </cell>
        </row>
        <row r="798">
          <cell r="B798" t="str">
            <v>MONTESDEOCA VERA CORINA CLEOPATRA</v>
          </cell>
          <cell r="C798" t="str">
            <v>ENFERMERO/A 3</v>
          </cell>
        </row>
        <row r="799">
          <cell r="B799" t="str">
            <v>MONTILLA MUÑOZ LUIS ANTONIO</v>
          </cell>
          <cell r="C799" t="str">
            <v>TECNOLOGO MEDICO DE IMAGENOLOGIA 2</v>
          </cell>
        </row>
        <row r="800">
          <cell r="B800" t="str">
            <v>MONTOYA MORENO GLENDA DEL CARMEN</v>
          </cell>
          <cell r="C800" t="str">
            <v>MEDICO/A ESPECIALISTA EN CUIDADOS INTENSIVOS 1</v>
          </cell>
        </row>
        <row r="801">
          <cell r="B801" t="str">
            <v>MORA BAEZ LILA NOHELIA</v>
          </cell>
          <cell r="C801" t="str">
            <v>MEDICO/A GENERAL EN FUNCIONES HOSPITALARIAS</v>
          </cell>
        </row>
        <row r="802">
          <cell r="B802" t="str">
            <v>MORA CRUZATTY ANDY ALCIDES</v>
          </cell>
          <cell r="C802" t="str">
            <v>ANALISTA DE REDES, COMUNICACIONES E INFRAESTRUCTURA</v>
          </cell>
        </row>
        <row r="803">
          <cell r="B803" t="str">
            <v>MORA SOLORZANO NELSON HUMBERTO</v>
          </cell>
          <cell r="C803" t="str">
            <v>MEDICO/A ESPECIALISTA EN NEFROLOGIA 3</v>
          </cell>
          <cell r="D803" t="str">
            <v>RESPONSABLE SERV DIALISIS</v>
          </cell>
        </row>
        <row r="804">
          <cell r="B804" t="str">
            <v>MORALES GARCIA MARIO ELOY</v>
          </cell>
          <cell r="C804" t="str">
            <v>MEDICO/A ESPECIALISTA EN GASTROENTEROLOGIA 1</v>
          </cell>
        </row>
        <row r="805">
          <cell r="B805" t="str">
            <v>MORALES PINCAY TATIANA ELIZABETH</v>
          </cell>
          <cell r="C805" t="str">
            <v>ENFERMERO/A 3</v>
          </cell>
        </row>
        <row r="806">
          <cell r="B806" t="str">
            <v>MORALES VALLE JOKASTA KEYLA</v>
          </cell>
          <cell r="C806" t="str">
            <v>QUIMICO / BIOQUIMICO FARMACEUTICO 1</v>
          </cell>
        </row>
        <row r="807">
          <cell r="B807" t="str">
            <v>MORAN AGUILAR ROSANNA KATHERINE</v>
          </cell>
          <cell r="C807" t="str">
            <v>ENFERMERO/A 3</v>
          </cell>
        </row>
        <row r="808">
          <cell r="B808" t="str">
            <v>MORAN CABRERA MARIA MERCEDES</v>
          </cell>
          <cell r="C808" t="str">
            <v>ENFERMERO/A 3</v>
          </cell>
        </row>
        <row r="809">
          <cell r="B809" t="str">
            <v>MORAN ZAMBRANO MELANIE MICHELLE</v>
          </cell>
          <cell r="C809" t="str">
            <v>AUXILIAR DE ENFERMERIA</v>
          </cell>
        </row>
        <row r="810">
          <cell r="B810" t="str">
            <v>MORANTE INTRIAGO ANGIE YOLANDA</v>
          </cell>
          <cell r="C810" t="str">
            <v>MEDICO/A GENERAL EN FUNCIONES HOSPITALARIAS</v>
          </cell>
        </row>
        <row r="811">
          <cell r="B811" t="str">
            <v>MOREIRA ACUÑA MARCELA ALEJANDRA</v>
          </cell>
          <cell r="C811" t="str">
            <v>AUXILIAR DE FARMACIA</v>
          </cell>
        </row>
        <row r="812">
          <cell r="B812" t="str">
            <v>MOREIRA ALAVA GANDY DAVID</v>
          </cell>
          <cell r="C812" t="str">
            <v>MEDICO/A GENERAL EN FUNCIONES HOSPITALARIAS</v>
          </cell>
        </row>
        <row r="813">
          <cell r="B813" t="str">
            <v>MOREIRA ALVARADO ENMA GUADALUPE</v>
          </cell>
          <cell r="C813" t="str">
            <v>AUXILIAR DE FARMACIA</v>
          </cell>
        </row>
        <row r="814">
          <cell r="B814" t="str">
            <v>MOREIRA BENITES KEVIN FERNANDO</v>
          </cell>
          <cell r="C814" t="str">
            <v>ENFERMERO/A 3</v>
          </cell>
        </row>
        <row r="815">
          <cell r="B815" t="str">
            <v>MOREIRA BERMELLO LEIDY STEFANI</v>
          </cell>
          <cell r="C815" t="str">
            <v>ENFERMERO/A 3</v>
          </cell>
        </row>
        <row r="816">
          <cell r="B816" t="str">
            <v>MOREIRA BRIONES SHARON GISSELLA</v>
          </cell>
          <cell r="C816" t="str">
            <v>ENFERMERO/A 3</v>
          </cell>
        </row>
        <row r="817">
          <cell r="B817" t="str">
            <v>MOREIRA DELGADO TANIA CAROLINA</v>
          </cell>
          <cell r="C817" t="str">
            <v>ENFERMERO/A 3</v>
          </cell>
        </row>
        <row r="818">
          <cell r="B818" t="str">
            <v>MOREIRA FRANCO LUIS ALFREDO</v>
          </cell>
          <cell r="C818" t="str">
            <v>MEDICO/A ESPECIALISTA EN CUIDADOS INTENSIVOS 1</v>
          </cell>
        </row>
        <row r="819">
          <cell r="B819" t="str">
            <v>MOREIRA GARCIA GEMA LUCIA</v>
          </cell>
          <cell r="C819" t="str">
            <v>AUXILIAR DE ENFERMERIA</v>
          </cell>
        </row>
        <row r="820">
          <cell r="B820" t="str">
            <v>MOREIRA GARCIA GLADYS MERCEDES</v>
          </cell>
          <cell r="C820" t="str">
            <v>ASISTENTE DE ADMISIONES</v>
          </cell>
        </row>
        <row r="821">
          <cell r="B821" t="str">
            <v>MOREIRA MACIAS KATHERIN JELITZA</v>
          </cell>
          <cell r="C821" t="str">
            <v>MEDICO/A ESPECIALISTA EN CUIDADOS INTENSIVOS 1</v>
          </cell>
        </row>
        <row r="822">
          <cell r="B822" t="str">
            <v>MOREIRA MENDOZA YARITZA KATIUSKA</v>
          </cell>
          <cell r="C822" t="str">
            <v>ENFERMERO/A 3</v>
          </cell>
        </row>
        <row r="823">
          <cell r="B823" t="str">
            <v>MOREIRA MENENDEZ LIZZIE MARIACELA</v>
          </cell>
          <cell r="C823" t="str">
            <v>MEDICO/A ESPECIALISTA EN CIRUGIA PLASTICA Y RECONSTRUCTIVA 1</v>
          </cell>
          <cell r="D823" t="str">
            <v>RESP. SERV. QUEMADOS</v>
          </cell>
        </row>
        <row r="824">
          <cell r="B824" t="str">
            <v>MOREIRA MERO JENIFFER VICTORIA</v>
          </cell>
          <cell r="C824" t="str">
            <v>TRABAJADOR/A SOCIAL 1</v>
          </cell>
        </row>
        <row r="825">
          <cell r="B825" t="str">
            <v>MOREIRA MEZA JENNY ELIZABETH</v>
          </cell>
          <cell r="C825" t="str">
            <v>ANALISTA DE ADQUISICIONES 1</v>
          </cell>
        </row>
        <row r="826">
          <cell r="B826" t="str">
            <v>MOREIRA MOREIRA ROSA ETELVINA</v>
          </cell>
          <cell r="C826" t="str">
            <v>ENFERMERO/A 3</v>
          </cell>
        </row>
        <row r="827">
          <cell r="B827" t="str">
            <v>MOREIRA PINARGOTE GEMA ESTEFANIA</v>
          </cell>
          <cell r="C827" t="str">
            <v>MEDICO/A GENERAL EN FUNCIONES HOSPITALARIAS</v>
          </cell>
        </row>
        <row r="828">
          <cell r="B828" t="str">
            <v>MOREIRA PLAZA JENNIFER MONSERRATE</v>
          </cell>
          <cell r="C828" t="str">
            <v>TECNOLOGO MEDICO DE MEDICINA TRANSFUSIONAL 2</v>
          </cell>
        </row>
        <row r="829">
          <cell r="B829" t="str">
            <v>MOREIRA QUIJIJE JUNIOR ANTONIO</v>
          </cell>
          <cell r="C829" t="str">
            <v>AUXILIAR DE ENFERMERIA</v>
          </cell>
        </row>
        <row r="830">
          <cell r="B830" t="str">
            <v>MOREIRA RODRIGUEZ CARLA VERONICA</v>
          </cell>
          <cell r="C830" t="str">
            <v>ANALISTA ADMINISTRATIVO FINANCIERO</v>
          </cell>
        </row>
        <row r="831">
          <cell r="B831" t="str">
            <v>MOREIRA RUIZ MARIA EUGENIA</v>
          </cell>
          <cell r="C831" t="str">
            <v>TECNOLOGO MEDICO DE MEDICINA TRANSFUSIONAL 3</v>
          </cell>
        </row>
        <row r="832">
          <cell r="B832" t="str">
            <v>MOREIRA SANCHEZ ROSA AIDE</v>
          </cell>
          <cell r="C832" t="str">
            <v>ENFERMERO/A 3</v>
          </cell>
        </row>
        <row r="833">
          <cell r="B833" t="str">
            <v>MOREIRA SANCHEZ STIBALY ELIBETH</v>
          </cell>
          <cell r="C833" t="str">
            <v>ENFERMERO/A 3</v>
          </cell>
          <cell r="D833" t="str">
            <v xml:space="preserve">RESP. SERV. NEONATOLOGIA </v>
          </cell>
        </row>
        <row r="834">
          <cell r="B834" t="str">
            <v>MOREIRA TOSCANO ANDREA MARGOT</v>
          </cell>
          <cell r="C834" t="str">
            <v>ASISTENTE DE ADMISIONES</v>
          </cell>
        </row>
        <row r="835">
          <cell r="B835" t="str">
            <v>MOREIRA VERA CARMEN ANGELICA</v>
          </cell>
          <cell r="C835" t="str">
            <v>ENFERMERO/A 3</v>
          </cell>
        </row>
        <row r="836">
          <cell r="B836" t="str">
            <v>MOREIRA VERA FANNY CAROLINA</v>
          </cell>
          <cell r="C836" t="str">
            <v>ENFERMERO/A 3</v>
          </cell>
        </row>
        <row r="837">
          <cell r="B837" t="str">
            <v>MOREIRA VILLAMAR YANDRY MIGUEL</v>
          </cell>
          <cell r="C837" t="str">
            <v>MEDICO/A ESPECIALISTA EN MEDICINA FISICA Y REHABILITACION 1</v>
          </cell>
        </row>
        <row r="838">
          <cell r="B838" t="str">
            <v>MOREIRA ZAMBRANO GEMA JAZMIN</v>
          </cell>
          <cell r="C838" t="str">
            <v>ENFERMERO/A 3</v>
          </cell>
        </row>
        <row r="839">
          <cell r="B839" t="str">
            <v>MOREIRA ZAMBRANO JOSE ALFONSO</v>
          </cell>
          <cell r="C839" t="str">
            <v>ENFERMERO/A 3</v>
          </cell>
        </row>
        <row r="840">
          <cell r="B840" t="str">
            <v>MOREIRA ZAMBRANO KAREN PAOLA</v>
          </cell>
          <cell r="C840" t="str">
            <v>MEDICO/A ESPECIALISTA EN GERIATRIA 1</v>
          </cell>
        </row>
        <row r="841">
          <cell r="B841" t="str">
            <v>MOREJON LOPEZ JOEL JARET</v>
          </cell>
          <cell r="C841" t="str">
            <v>MEDICO/A GENERAL EN FUNCIONES HOSPITALARIAS</v>
          </cell>
        </row>
        <row r="842">
          <cell r="B842" t="str">
            <v>MOREJON ZAMORA ALAN MAURICIO</v>
          </cell>
          <cell r="C842" t="str">
            <v>ANALISTA DE ADMISIONES</v>
          </cell>
        </row>
        <row r="843">
          <cell r="B843" t="str">
            <v>MOROCHO JARAMILLO PABLO RENE</v>
          </cell>
          <cell r="C843" t="str">
            <v>MEDICO/A ESPECIALISTA EN CUIDADOS INTENSIVOS 1</v>
          </cell>
        </row>
        <row r="844">
          <cell r="B844" t="str">
            <v>MORRILLO CEDEÑO MARIA LISBETH</v>
          </cell>
          <cell r="C844" t="str">
            <v>ENFERMERO/A 3</v>
          </cell>
        </row>
        <row r="845">
          <cell r="B845" t="str">
            <v>MOSQUERA MEZA BRIGGITTE GABRIELA</v>
          </cell>
          <cell r="C845" t="str">
            <v>MEDICO/A GENERAL EN FUNCIONES HOSPITALARIAS</v>
          </cell>
        </row>
        <row r="846">
          <cell r="B846" t="str">
            <v>MOSQUERA PILAY GEMA VALENTINA</v>
          </cell>
          <cell r="C846" t="str">
            <v>ENFERMERO/A 3</v>
          </cell>
        </row>
        <row r="847">
          <cell r="B847" t="str">
            <v>MOYA MACAY EDUARDO ANDRES</v>
          </cell>
          <cell r="C847" t="str">
            <v>ANALISTA DE TECNOLOGIAS DE LA INFORMACION Y COMUNICACIONES 1</v>
          </cell>
        </row>
        <row r="848">
          <cell r="B848" t="str">
            <v>MOYANO ALBAN DIEGO ESTALIN</v>
          </cell>
          <cell r="C848" t="str">
            <v>TECNOLOGO MEDICO DE REHABILITACION Y TERAPIA FISICA 3</v>
          </cell>
        </row>
        <row r="849">
          <cell r="B849" t="str">
            <v>MUÑIZ LINO DAYANA GIBELL</v>
          </cell>
          <cell r="C849" t="str">
            <v>LABORATORISTA CLINICO 1</v>
          </cell>
        </row>
        <row r="850">
          <cell r="B850" t="str">
            <v>MUÑIZ PINCAY GUADALUPE JOHANNA</v>
          </cell>
          <cell r="C850" t="str">
            <v>TECNOLOGO MEDICO DE LABORATORIO 1</v>
          </cell>
        </row>
        <row r="851">
          <cell r="B851" t="str">
            <v>MUÑOZ CEDEÑO ANA CRISTINA</v>
          </cell>
          <cell r="C851" t="str">
            <v>MEDICO/A ESPECIALISTA EN PEDIATRIA 1</v>
          </cell>
        </row>
        <row r="852">
          <cell r="B852" t="str">
            <v>MUÑOZ CHAVEZ MARIA FERNANDA</v>
          </cell>
          <cell r="C852" t="str">
            <v>ENFERMERO/A 3</v>
          </cell>
        </row>
        <row r="853">
          <cell r="B853" t="str">
            <v>MUÑOZ FARFAN YARIMA LILIBETH</v>
          </cell>
          <cell r="C853" t="str">
            <v>AUXILIAR DE FARMACIA</v>
          </cell>
        </row>
        <row r="854">
          <cell r="B854" t="str">
            <v>MUÑOZ RODRIGUEZ DALILA AUXILIADORA</v>
          </cell>
          <cell r="C854" t="str">
            <v>MEDICO/A ESPECIALISTA EN MEDICINA INTERNA 1</v>
          </cell>
        </row>
        <row r="855">
          <cell r="B855" t="str">
            <v>MUÑOZ VERA JULIA ADRIANA</v>
          </cell>
          <cell r="C855" t="str">
            <v>ENFERMERO/A 3</v>
          </cell>
        </row>
        <row r="856">
          <cell r="B856" t="str">
            <v>MUÑOZ ZAMBRANO CRISTOBAL COLON</v>
          </cell>
          <cell r="C856" t="str">
            <v>ANALISTA DE ADMISIONES</v>
          </cell>
        </row>
        <row r="857">
          <cell r="B857" t="str">
            <v>MURILLO ALAVA HOLGER HERALDO</v>
          </cell>
          <cell r="C857" t="str">
            <v>MEDICO/A ESPECIALISTA EN HEMATOLOGIA 1</v>
          </cell>
        </row>
        <row r="858">
          <cell r="B858" t="str">
            <v>MURILLO BERMUDEZ HUGO STALIN</v>
          </cell>
          <cell r="C858" t="str">
            <v>TECNICO DE MANTENIMIENTO</v>
          </cell>
        </row>
        <row r="859">
          <cell r="B859" t="str">
            <v>MURILLO CEVALLOS ELIZABETH CARMEN</v>
          </cell>
          <cell r="C859" t="str">
            <v>PSICOLOGO/A CLINICO/A  1</v>
          </cell>
        </row>
        <row r="860">
          <cell r="B860" t="str">
            <v>MURILLO PISCO INES ADRIANA</v>
          </cell>
          <cell r="C860" t="str">
            <v>TECNOLOGO MEDICO DE IMAGENOLOGIA 2</v>
          </cell>
        </row>
        <row r="861">
          <cell r="B861" t="str">
            <v>MURILLO PISCO JAIRO ANIBAL</v>
          </cell>
          <cell r="C861" t="str">
            <v>AUXILIAR DE ENFERMERIA</v>
          </cell>
        </row>
        <row r="862">
          <cell r="B862" t="str">
            <v>MURILLO SALAZAR DAYANA YAMILET</v>
          </cell>
          <cell r="C862" t="str">
            <v>ENFERMERO/A 3</v>
          </cell>
        </row>
        <row r="863">
          <cell r="B863" t="str">
            <v>MURILLO SANCHEZ MARIA FERNANDA</v>
          </cell>
          <cell r="C863" t="str">
            <v>MEDICO/A ESPECIALISTA EN PEDIATRIA 1</v>
          </cell>
        </row>
        <row r="864">
          <cell r="B864" t="str">
            <v>MURILLO SUAREZ AIDA DAYANA</v>
          </cell>
          <cell r="C864" t="str">
            <v>LABORATORISTA CLINICO 1</v>
          </cell>
        </row>
        <row r="865">
          <cell r="B865" t="str">
            <v>MURILLO ZAMBRANO ADRIAN ANDRES</v>
          </cell>
          <cell r="C865" t="str">
            <v>ANALISTA DE ELECTROMECANICA</v>
          </cell>
        </row>
        <row r="866">
          <cell r="B866" t="str">
            <v>NAPA CHICA JONATHAN XAVIER</v>
          </cell>
          <cell r="C866" t="str">
            <v>ENFERMERO/A 3</v>
          </cell>
        </row>
        <row r="867">
          <cell r="B867" t="str">
            <v>NAPA QUINTERO CARLOS JULIO</v>
          </cell>
          <cell r="C867" t="str">
            <v>ENFERMERO/A 3</v>
          </cell>
        </row>
        <row r="868">
          <cell r="B868" t="str">
            <v>NARANJO VERGARA JUAN ANDRES</v>
          </cell>
          <cell r="C868" t="str">
            <v>ENFERMERO/A 3</v>
          </cell>
        </row>
        <row r="869">
          <cell r="B869" t="str">
            <v>NAVARRETE ANDRADE ANA JULEXI</v>
          </cell>
          <cell r="C869" t="str">
            <v>ENFERMERO/A 3</v>
          </cell>
        </row>
        <row r="870">
          <cell r="B870" t="str">
            <v>NAVARRETE CANO EILEN MELINA</v>
          </cell>
          <cell r="C870" t="str">
            <v>ASISTENTE DE ADMISIONES</v>
          </cell>
        </row>
        <row r="871">
          <cell r="B871" t="str">
            <v>NAVARRETE FERNANDEZ LAURA ELIZABETH</v>
          </cell>
          <cell r="C871" t="str">
            <v>ENFERMERO/A 3</v>
          </cell>
        </row>
        <row r="872">
          <cell r="B872" t="str">
            <v>NAVARRETE VARGAS WAGNER OSWALDO</v>
          </cell>
          <cell r="C872" t="str">
            <v>ANALISTA DE ACTIVOS FIJOS 2</v>
          </cell>
        </row>
        <row r="873">
          <cell r="B873" t="str">
            <v>NAVARRO ZAMBRANO MIKE PATRICIO</v>
          </cell>
          <cell r="C873" t="str">
            <v>ENFERMERO/A 3</v>
          </cell>
        </row>
        <row r="874">
          <cell r="B874" t="str">
            <v>NAVAS PARRAGA CAROLINA NATALI</v>
          </cell>
          <cell r="C874" t="str">
            <v>MEDICO/A GENERAL EN FUNCIONES HOSPITALARIAS</v>
          </cell>
        </row>
        <row r="875">
          <cell r="B875" t="str">
            <v>NUÑEZ MATAMOROS GABRIELA ISABEL</v>
          </cell>
          <cell r="C875" t="str">
            <v>MEDICO/A ESPECIALISTA EN MEDICINA INTERNA 1</v>
          </cell>
        </row>
        <row r="876">
          <cell r="B876" t="str">
            <v>NUÑEZ MENDOZA CINTHIA ESTEFANIA</v>
          </cell>
          <cell r="C876" t="str">
            <v>MEDICO/A GENERAL EN FUNCIONES HOSPITALARIAS</v>
          </cell>
        </row>
        <row r="877">
          <cell r="B877" t="str">
            <v>NUÑEZ PONCE BELEN STEFANI</v>
          </cell>
          <cell r="C877" t="str">
            <v>ENFERMERO/A 3</v>
          </cell>
        </row>
        <row r="878">
          <cell r="B878" t="str">
            <v>OCHOA ANDRADE MARIA BELEN</v>
          </cell>
          <cell r="C878" t="str">
            <v>ENFERMERO/A 3</v>
          </cell>
        </row>
        <row r="879">
          <cell r="B879" t="str">
            <v>OCHOA LUCAS LUIS CARLOS</v>
          </cell>
          <cell r="C879" t="str">
            <v>MEDICO/A ESPECIALISTA EN ANESTESIOLOGIA 1</v>
          </cell>
        </row>
        <row r="880">
          <cell r="B880" t="str">
            <v>OLVERA BAJAÑA ANDREA NICOLE</v>
          </cell>
          <cell r="C880" t="str">
            <v>QUIMICO / BIOQUIMICO FARMACEUTICO 1</v>
          </cell>
        </row>
        <row r="881">
          <cell r="B881" t="str">
            <v>OÑA PARRALES MARIA JOSE</v>
          </cell>
          <cell r="C881" t="str">
            <v>ENFERMERO/A 3</v>
          </cell>
        </row>
        <row r="882">
          <cell r="B882" t="str">
            <v>OÑATE TOALA STEPHANY JACKELINE</v>
          </cell>
          <cell r="C882" t="str">
            <v>ENFERMERO/A 3</v>
          </cell>
        </row>
        <row r="883">
          <cell r="B883" t="str">
            <v>ORELLANA ALCIVAR OSCAR ANTONIO</v>
          </cell>
          <cell r="C883" t="str">
            <v>ENFERMERO/A 3</v>
          </cell>
        </row>
        <row r="884">
          <cell r="B884" t="str">
            <v>ORMAZA MERA MYRIAM MAGDALENA</v>
          </cell>
          <cell r="C884" t="str">
            <v>AUXILIAR DE ENFERMERIA</v>
          </cell>
        </row>
        <row r="885">
          <cell r="B885" t="str">
            <v>ORQUERA OÑA CARLOS ALEXANDER</v>
          </cell>
          <cell r="C885" t="str">
            <v>ANALISTA DE CALIDAD 1</v>
          </cell>
        </row>
        <row r="886">
          <cell r="B886" t="str">
            <v>ORREGO ALVAREZ STEFANY MARIA</v>
          </cell>
          <cell r="C886" t="str">
            <v>MEDICO/A GENERAL EN FUNCIONES HOSPITALARIAS</v>
          </cell>
        </row>
        <row r="887">
          <cell r="B887" t="str">
            <v>ORTEGA MOREIRA VIVIANA ELIZABETH</v>
          </cell>
          <cell r="C887" t="str">
            <v>ENFERMERO/A 3</v>
          </cell>
        </row>
        <row r="888">
          <cell r="B888" t="str">
            <v>ORTIZ ALCIVAR STEFANIE KAROLAY</v>
          </cell>
          <cell r="C888" t="str">
            <v>ENFERMERO/A 3</v>
          </cell>
        </row>
        <row r="889">
          <cell r="B889" t="str">
            <v>ORTIZ ESPINOZA NELLY DE JESUS</v>
          </cell>
          <cell r="C889" t="str">
            <v>QUIMICO / BIOQUIMICO FARMACEUTICO 1</v>
          </cell>
        </row>
        <row r="890">
          <cell r="B890" t="str">
            <v>ORTIZ VELEZ HUGO ANDREE</v>
          </cell>
          <cell r="C890" t="str">
            <v>TECNOLOGO MEDICO DE IMAGENOLOGIA 2</v>
          </cell>
        </row>
        <row r="891">
          <cell r="B891" t="str">
            <v>OZAETA VELEZ DAYSY JAQUELINE</v>
          </cell>
          <cell r="C891" t="str">
            <v>ENFERMERO/A 3</v>
          </cell>
        </row>
        <row r="892">
          <cell r="B892" t="str">
            <v>PACHAY CORNEJO ALLISON PAMELA</v>
          </cell>
          <cell r="C892" t="str">
            <v>MEDICO/A GENERAL EN FUNCIONES HOSPITALARIAS</v>
          </cell>
        </row>
        <row r="893">
          <cell r="B893" t="str">
            <v>PACHECO GALARZA MARCELA ESTEFANIA</v>
          </cell>
          <cell r="C893" t="str">
            <v>ENFERMERO/A 3</v>
          </cell>
        </row>
        <row r="894">
          <cell r="B894" t="str">
            <v>PACHECO MENDOZA BYRON ALEXIS</v>
          </cell>
          <cell r="C894" t="str">
            <v>MEDICO/A SUBESPECIALISTA EN CIRUGIA PEDIATRICA</v>
          </cell>
        </row>
        <row r="895">
          <cell r="B895" t="str">
            <v>PACHECO OSORIO WILLIAM ANDRES</v>
          </cell>
          <cell r="C895" t="str">
            <v>MEDICO/A SUBESPECIALISTA EN CUIDADOS INTENSIVOS PEDIATRICOS</v>
          </cell>
        </row>
        <row r="896">
          <cell r="B896" t="str">
            <v>PADILLA SOTO JORGE LUIS</v>
          </cell>
          <cell r="C896" t="str">
            <v>QUIMICO / BIOQUIMICO FARMACEUTICO 1</v>
          </cell>
        </row>
        <row r="897">
          <cell r="B897" t="str">
            <v>PAGUAY CUVI ANA LUCIA</v>
          </cell>
          <cell r="C897" t="str">
            <v>MEDICO/A ESPECIALISTA EN ONCOLOGIA 1</v>
          </cell>
        </row>
        <row r="898">
          <cell r="B898" t="str">
            <v>PALACIO ALCIVAR DANIEL EDUARDO</v>
          </cell>
          <cell r="C898" t="str">
            <v>MEDICO/A ESPECIALISTA EN ENDOCRINOLOGIA 1</v>
          </cell>
        </row>
        <row r="899">
          <cell r="B899" t="str">
            <v>PALACIOS CEVALLOS FRANKLIN MAURICIO</v>
          </cell>
          <cell r="C899" t="str">
            <v>MEDICO/A SUBESPECIALISTA EN INFECTOLOGIA</v>
          </cell>
        </row>
        <row r="900">
          <cell r="B900" t="str">
            <v>PALACIOS COELLO LUIS FERNANDO</v>
          </cell>
          <cell r="C900" t="str">
            <v>MEDICO/A ESPECIALISTA EN EMERGENCIAS Y DESASTRES 1</v>
          </cell>
        </row>
        <row r="901">
          <cell r="B901" t="str">
            <v>PALACIOS LOZA MAITE LISSETH</v>
          </cell>
          <cell r="C901" t="str">
            <v>ENFERMERO/A 3</v>
          </cell>
        </row>
        <row r="902">
          <cell r="B902" t="str">
            <v>PALACIOS MENDOZA DENISSE ESTHER</v>
          </cell>
          <cell r="C902" t="str">
            <v>MEDICO/A GENERAL EN FUNCIONES HOSPITALARIAS</v>
          </cell>
        </row>
        <row r="903">
          <cell r="B903" t="str">
            <v>PALACIOS PALACIOS JENNY MONSERRATE</v>
          </cell>
          <cell r="C903" t="str">
            <v>ENFERMERO/A 3</v>
          </cell>
        </row>
        <row r="904">
          <cell r="B904" t="str">
            <v>PALACIOS PESANTES EDWIN EDUARDO</v>
          </cell>
          <cell r="C904" t="str">
            <v>MEDICO/A ESPECIALISTA EN OTORRINOLARINGOLOGIA 1</v>
          </cell>
        </row>
        <row r="905">
          <cell r="B905" t="str">
            <v>PALACIOS TUBAY CRISTINA MONSERRATE</v>
          </cell>
          <cell r="C905" t="str">
            <v>AUXILIAR DE ENFERMERIA</v>
          </cell>
        </row>
        <row r="906">
          <cell r="B906" t="str">
            <v>PALLO GARCIA JUDITH RAQUEL</v>
          </cell>
          <cell r="C906" t="str">
            <v>ENFERMERO/A 3</v>
          </cell>
        </row>
        <row r="907">
          <cell r="B907" t="str">
            <v>PALMA BRAVO KARLA KATIUSKA</v>
          </cell>
          <cell r="C907" t="str">
            <v>MEDICO/A SUBESPECIALISTA EN NEONATOLOGIA</v>
          </cell>
          <cell r="D907" t="str">
            <v xml:space="preserve">RESP. SERV. NEONATOLOGIA </v>
          </cell>
        </row>
        <row r="908">
          <cell r="B908" t="str">
            <v>PALMA BURGOS DENISSE SAMANTA</v>
          </cell>
          <cell r="C908" t="str">
            <v>ENFERMERO/A 3</v>
          </cell>
        </row>
        <row r="909">
          <cell r="B909" t="str">
            <v>PALMA DELGADO JULISSA MICHELL</v>
          </cell>
          <cell r="C909" t="str">
            <v>AUXILIAR DE ENFERMERIA</v>
          </cell>
        </row>
        <row r="910">
          <cell r="B910" t="str">
            <v>PALMA LAZ DOLORES MERCEDES</v>
          </cell>
          <cell r="C910" t="str">
            <v>ENFERMERO/A 3</v>
          </cell>
        </row>
        <row r="911">
          <cell r="B911" t="str">
            <v>PALMA LOPEZ ANDREA NATALY</v>
          </cell>
          <cell r="C911" t="str">
            <v>ENFERMERO/A 3</v>
          </cell>
        </row>
        <row r="912">
          <cell r="B912" t="str">
            <v>PALMA LOZANO DENYS ALEJANDRA</v>
          </cell>
          <cell r="C912" t="str">
            <v>ENFERMERO/A 3</v>
          </cell>
        </row>
        <row r="913">
          <cell r="B913" t="str">
            <v>PALMA PARRAGA REBECA DAYANARA</v>
          </cell>
          <cell r="C913" t="str">
            <v>TECNOLOGO MEDICO DE REHABILITACION Y TERAPIA FISICA 2</v>
          </cell>
        </row>
        <row r="914">
          <cell r="B914" t="str">
            <v>PALMA PARRALES ANGEL ARIEL</v>
          </cell>
          <cell r="C914" t="str">
            <v>ENFERMERO/A 3</v>
          </cell>
        </row>
        <row r="915">
          <cell r="B915" t="str">
            <v>PALMA PIN JENNIFER ELIZABETH</v>
          </cell>
          <cell r="C915" t="str">
            <v>ENFERMERO/A 3</v>
          </cell>
        </row>
        <row r="916">
          <cell r="B916" t="str">
            <v>PALMA VERDUGA JESSENIA MADELEINE</v>
          </cell>
          <cell r="C916" t="str">
            <v>ENFERMERO/A 3</v>
          </cell>
        </row>
        <row r="917">
          <cell r="B917" t="str">
            <v>PALMA VERDUGA SHEILA JULISSA</v>
          </cell>
          <cell r="C917" t="str">
            <v>ENFERMERO/A 3</v>
          </cell>
        </row>
        <row r="918">
          <cell r="B918" t="str">
            <v>PANCHANA FLORES ALEX GABRIEL</v>
          </cell>
          <cell r="C918" t="str">
            <v>AUXILIAR DE LABORATORIO</v>
          </cell>
        </row>
        <row r="919">
          <cell r="B919" t="str">
            <v>PANCHANA VELEZ WILMER EFREN</v>
          </cell>
          <cell r="C919" t="str">
            <v>AUXILIAR ADMINISTRATIVO DE SALUD DEL SECTOR SALUD</v>
          </cell>
        </row>
        <row r="920">
          <cell r="B920" t="str">
            <v>PAREDES AVILA CESAR ALBERTO</v>
          </cell>
          <cell r="C920" t="str">
            <v>TECNOLOGO MEDICO DE IMAGENOLOGIA 3</v>
          </cell>
        </row>
        <row r="921">
          <cell r="B921" t="str">
            <v>PAREDES BALLESTEROS JUAN PABLO</v>
          </cell>
          <cell r="C921" t="str">
            <v>MEDICO/A ESPECIALISTA EN CUIDADOS INTENSIVOS 1</v>
          </cell>
        </row>
        <row r="922">
          <cell r="B922" t="str">
            <v>PAREDES MEZA JENNIFFER KATIUSKA</v>
          </cell>
          <cell r="C922" t="str">
            <v>MEDICO/A GENERAL EN FUNCIONES HOSPITALARIAS</v>
          </cell>
        </row>
        <row r="923">
          <cell r="B923" t="str">
            <v>PARRAGA ANCHUNDIA JHONY STEVEN</v>
          </cell>
          <cell r="C923" t="str">
            <v>AUXILIAR ADMINISTRATIVO DE SALUD DEL SECTOR SALUD</v>
          </cell>
        </row>
        <row r="924">
          <cell r="B924" t="str">
            <v>PARRAGA BAUTISTA JEAN CARLOS</v>
          </cell>
          <cell r="C924" t="str">
            <v>AUXILIAR ADMINISTRATIVO DE SALUD DEL SECTOR SALUD</v>
          </cell>
        </row>
        <row r="925">
          <cell r="B925" t="str">
            <v>PARRAGA CASTRO ANGIE STEFANY</v>
          </cell>
          <cell r="C925" t="str">
            <v>MEDICO/A GENERAL EN FUNCIONES HOSPITALARIAS</v>
          </cell>
        </row>
        <row r="926">
          <cell r="B926" t="str">
            <v>PARRAGA CEDEÑO ISAAC ALFREDO</v>
          </cell>
          <cell r="C926" t="str">
            <v>LABORATORISTA CLINICO 1</v>
          </cell>
        </row>
        <row r="927">
          <cell r="B927" t="str">
            <v>PARRAGA FARIAS JENIFFER JAHAIRA</v>
          </cell>
          <cell r="C927" t="str">
            <v>AUXILIAR DE FARMACIA</v>
          </cell>
          <cell r="D927" t="str">
            <v xml:space="preserve">RESP. OF CODIGO TRABAJO </v>
          </cell>
        </row>
        <row r="928">
          <cell r="B928" t="str">
            <v>PARRAGA GANCHOZO JAHAIRA ELIZABETH</v>
          </cell>
          <cell r="C928" t="str">
            <v>ENFERMERO/A 3</v>
          </cell>
        </row>
        <row r="929">
          <cell r="B929" t="str">
            <v>PARRAGA PALMA ANGELICA ESPERANZA</v>
          </cell>
          <cell r="C929" t="str">
            <v>MEDICO/A ESPECIALISTA EN NEUROLOGIA 1</v>
          </cell>
        </row>
        <row r="930">
          <cell r="B930" t="str">
            <v>PARRAGA PISCO MARIA ALEJANDRA</v>
          </cell>
          <cell r="C930" t="str">
            <v>ENFERMERO/A 3</v>
          </cell>
        </row>
        <row r="931">
          <cell r="B931" t="str">
            <v>PARRAGA VERA ADRIANA BELEN</v>
          </cell>
          <cell r="C931" t="str">
            <v>ENFERMERO/A 3</v>
          </cell>
        </row>
        <row r="932">
          <cell r="B932" t="str">
            <v>PARRAGA VERA ANA ALEXANDRA</v>
          </cell>
          <cell r="C932" t="str">
            <v>MEDICO/A GENERAL EN FUNCIONES HOSPITALARIAS</v>
          </cell>
        </row>
        <row r="933">
          <cell r="B933" t="str">
            <v>PARRAGA ZAMBRANO ANDREA CAROLINA</v>
          </cell>
          <cell r="C933" t="str">
            <v>MEDICO/A GENERAL EN FUNCIONES HOSPITALARIAS</v>
          </cell>
        </row>
        <row r="934">
          <cell r="B934" t="str">
            <v>PARRALES GILER FRANK GONZALO</v>
          </cell>
          <cell r="C934" t="str">
            <v>MEDICO/A GENERAL EN FUNCIONES HOSPITALARIAS</v>
          </cell>
        </row>
        <row r="935">
          <cell r="B935" t="str">
            <v>PARRALES GONZALEZ GENESIS LISBETH</v>
          </cell>
          <cell r="C935" t="str">
            <v>ENFERMERO/A 3</v>
          </cell>
        </row>
        <row r="936">
          <cell r="B936" t="str">
            <v>PARRALES INDACOCHEA MARIA ALEJANDRA</v>
          </cell>
          <cell r="C936" t="str">
            <v>ENFERMERO/A 3</v>
          </cell>
        </row>
        <row r="937">
          <cell r="B937" t="str">
            <v>PARRALES LOPEZ CRISTHEL LISBETH</v>
          </cell>
          <cell r="C937" t="str">
            <v>MEDICO/A GENERAL EN FUNCIONES HOSPITALARIAS</v>
          </cell>
        </row>
        <row r="938">
          <cell r="B938" t="str">
            <v>PARRALES MARCILLO ANGEL MAURICIO</v>
          </cell>
          <cell r="C938" t="str">
            <v>AUXILIAR DE LABORATORIO</v>
          </cell>
        </row>
        <row r="939">
          <cell r="B939" t="str">
            <v>PARRALES MATUTE DIANA ELIZABETH</v>
          </cell>
          <cell r="C939" t="str">
            <v>MEDICO/A ESPECIALISTA EN CIRUGIA GENERAL 1</v>
          </cell>
        </row>
        <row r="940">
          <cell r="B940" t="str">
            <v>PARRALES PALMA ITALO LUIGGY</v>
          </cell>
          <cell r="C940" t="str">
            <v>ENFERMERO/A 3</v>
          </cell>
        </row>
        <row r="941">
          <cell r="B941" t="str">
            <v>PARRALES SORNOZA TERESA MERCEDES</v>
          </cell>
          <cell r="C941" t="str">
            <v>ENFERMERO/A 3</v>
          </cell>
        </row>
        <row r="942">
          <cell r="B942" t="str">
            <v>PAUCAR AGUAYO ANA ELIZABETH</v>
          </cell>
          <cell r="C942" t="str">
            <v>MEDICO/A ESPECIALISTA EN CIRUGIA GENERAL 1</v>
          </cell>
        </row>
        <row r="943">
          <cell r="B943" t="str">
            <v>PAVON VALLEJOS ERIKA MARIBEL</v>
          </cell>
          <cell r="C943" t="str">
            <v>MEDICO/A ESPECIALISTA EN ONCOLOGIA 1</v>
          </cell>
        </row>
        <row r="944">
          <cell r="B944" t="str">
            <v>PAZMIÑO MENDOZA LIDA LISBETH</v>
          </cell>
          <cell r="C944" t="str">
            <v>ENFERMERO/A 3</v>
          </cell>
        </row>
        <row r="945">
          <cell r="B945" t="str">
            <v>PEÑA PARRALES SILVIA CRISTINA</v>
          </cell>
          <cell r="C945" t="str">
            <v>ENFERMERO/A 3</v>
          </cell>
        </row>
        <row r="946">
          <cell r="B946" t="str">
            <v>PEÑA SORNOZA KEVIN JAIR</v>
          </cell>
          <cell r="C946" t="str">
            <v>ENFERMERO/A 3</v>
          </cell>
        </row>
        <row r="947">
          <cell r="B947" t="str">
            <v>PEÑARRETA TIVILLIN DAVID DARIO</v>
          </cell>
          <cell r="C947" t="str">
            <v>QUIMICO / BIOQUIMICO FARMACEUTICO 3</v>
          </cell>
        </row>
        <row r="948">
          <cell r="B948" t="str">
            <v>PERALTA MONTES JICELA SELENA</v>
          </cell>
          <cell r="C948" t="str">
            <v>AUXILIAR DE ENFERMERIA</v>
          </cell>
        </row>
        <row r="949">
          <cell r="B949" t="str">
            <v>PEREZ HINOJOSA ERNESTO ALEJANDRO</v>
          </cell>
          <cell r="C949" t="str">
            <v>GUARDALMACEN</v>
          </cell>
        </row>
        <row r="950">
          <cell r="B950" t="str">
            <v>PEREZ PEREZ GABRIELA VERONICA</v>
          </cell>
          <cell r="C950" t="str">
            <v>ENFERMERO/A 3</v>
          </cell>
        </row>
        <row r="951">
          <cell r="B951" t="str">
            <v>PEREZ SANCHEZ MAYRA ALEJANDRA</v>
          </cell>
          <cell r="C951" t="str">
            <v>ANALISTA DE PAGO DE NOMINA</v>
          </cell>
        </row>
        <row r="952">
          <cell r="B952" t="str">
            <v>PEREZ TULCANAZA CARLOS EDUARDO</v>
          </cell>
          <cell r="C952" t="str">
            <v>MEDICO/A ESPECIALISTA EN NEFROLOGIA 1</v>
          </cell>
        </row>
        <row r="953">
          <cell r="B953" t="str">
            <v>PICO CALDERON CINTHYA MICHELLE</v>
          </cell>
          <cell r="C953" t="str">
            <v>TECNOLOGO MEDICO DE IMAGENOLOGIA 3</v>
          </cell>
        </row>
        <row r="954">
          <cell r="B954" t="str">
            <v>PICO CALDERON CINTHYA STEPHANIE</v>
          </cell>
          <cell r="C954" t="str">
            <v>MEDICO/A ESPECIALISTA EN ANATOMIA PATOLOGICA 1</v>
          </cell>
          <cell r="D954" t="str">
            <v>RESP. SERV ANATOMIA PATOLOGICA</v>
          </cell>
        </row>
        <row r="955">
          <cell r="B955" t="str">
            <v>PICO MACIAS YUBERTH ALEXANDER</v>
          </cell>
          <cell r="C955" t="str">
            <v>MEDICO/A ESPECIALISTA EN HEMATOLOGIA 1</v>
          </cell>
        </row>
        <row r="956">
          <cell r="B956" t="str">
            <v>PICO SOLORZANO FRANCISCO ALEXI</v>
          </cell>
          <cell r="C956" t="str">
            <v>ENFERMERO/A 3</v>
          </cell>
        </row>
        <row r="957">
          <cell r="B957" t="str">
            <v>PICO ZEA ERIKA DEL PILAR</v>
          </cell>
          <cell r="C957" t="str">
            <v>MEDICO/A GENERAL EN FUNCIONES HOSPITALARIAS</v>
          </cell>
        </row>
        <row r="958">
          <cell r="B958" t="str">
            <v>PIGUAVE ALVIA KATHERINE LISSETH</v>
          </cell>
          <cell r="C958" t="str">
            <v>TECNOLOGO MEDICO DE IMAGENOLOGIA 3</v>
          </cell>
        </row>
        <row r="959">
          <cell r="B959" t="str">
            <v>PILAY MOREIRA ALICIA LISBETH</v>
          </cell>
          <cell r="C959" t="str">
            <v>ENFERMERO/A 3</v>
          </cell>
        </row>
        <row r="960">
          <cell r="B960" t="str">
            <v>PILAY MOREIRA DARLYN GUILLERMO</v>
          </cell>
          <cell r="C960" t="str">
            <v>MEDICO/A GENERAL EN FUNCIONES HOSPITALARIAS</v>
          </cell>
        </row>
        <row r="961">
          <cell r="B961" t="str">
            <v>PILLASAGUA CONSTANTE DAVID HERNEY</v>
          </cell>
          <cell r="C961" t="str">
            <v>ENFERMERO/A 3</v>
          </cell>
        </row>
        <row r="962">
          <cell r="B962" t="str">
            <v>PILLIGUA PARRALES DIEGO STALIN</v>
          </cell>
          <cell r="C962" t="str">
            <v>AUXILIAR ADMINISTRATIVO DE SALUD DEL SECTOR SALUD</v>
          </cell>
        </row>
        <row r="963">
          <cell r="B963" t="str">
            <v>PILLIGUA POSLIGUA JOSE MIGUEL</v>
          </cell>
          <cell r="C963" t="str">
            <v>MEDICO/A ESPECIALISTA EN PSIQUIATRIA 1</v>
          </cell>
          <cell r="D963" t="str">
            <v>RESP. CONSULTA EXTERNA</v>
          </cell>
        </row>
        <row r="964">
          <cell r="B964" t="str">
            <v>PILOSO ANCHUNDIA DIANA VANESSA</v>
          </cell>
          <cell r="C964" t="str">
            <v>ENFERMERO/A 3</v>
          </cell>
        </row>
        <row r="965">
          <cell r="B965" t="str">
            <v>PILOZO MACIAS JESSICA RAQUEL</v>
          </cell>
          <cell r="C965" t="str">
            <v>MEDICO/A GENERAL EN FUNCIONES HOSPITALARIAS</v>
          </cell>
        </row>
        <row r="966">
          <cell r="B966" t="str">
            <v>PILOZO SANTANA GEMA KARINA</v>
          </cell>
          <cell r="C966" t="str">
            <v>ENFERMERO/A 3</v>
          </cell>
        </row>
        <row r="967">
          <cell r="B967" t="str">
            <v>PIN LOPEZ JOSE LUIS</v>
          </cell>
          <cell r="C967" t="str">
            <v>AUXILIAR ADMINISTRATIVO DE SALUD DEL SECTOR SALUD</v>
          </cell>
        </row>
        <row r="968">
          <cell r="B968" t="str">
            <v>PIN RIVAS VERONICA ELIZABETH</v>
          </cell>
          <cell r="C968" t="str">
            <v>TERAPISTA OCUPACIONAL</v>
          </cell>
        </row>
        <row r="969">
          <cell r="B969" t="str">
            <v>PINARGOTE ARAY ANGELA MERCEDES</v>
          </cell>
          <cell r="C969" t="str">
            <v>TECNOLOGO MEDICO DE REHABILITACION Y TERAPIA FISICA 2</v>
          </cell>
        </row>
        <row r="970">
          <cell r="B970" t="str">
            <v>PINARGOTE MACIAS ARGENIS STEEVEN</v>
          </cell>
          <cell r="C970" t="str">
            <v>AUXILIAR ADMINISTRATIVO DE SALUD DEL SECTOR SALUD</v>
          </cell>
        </row>
        <row r="971">
          <cell r="B971" t="str">
            <v>PINARGOTE QUIJIJE RUTH MARIA</v>
          </cell>
          <cell r="C971" t="str">
            <v>MEDICO/A ESPECIALISTA EN GINECOLOGIA 1</v>
          </cell>
        </row>
        <row r="972">
          <cell r="B972" t="str">
            <v>PINARGOTE TELLO LEONELA MONSERRATE</v>
          </cell>
          <cell r="C972" t="str">
            <v>ENFERMERO/A 3</v>
          </cell>
        </row>
        <row r="973">
          <cell r="B973" t="str">
            <v>PINCAY ALVARADO DANIEL ANTONIO</v>
          </cell>
          <cell r="C973" t="str">
            <v>ENFERMERO/A 3</v>
          </cell>
        </row>
        <row r="974">
          <cell r="B974" t="str">
            <v>PINCAY ANZULES GABRIEL EDUARDO</v>
          </cell>
          <cell r="C974" t="str">
            <v>AUXILIAR ADMINISTRATIVO DE SALUD DEL SECTOR SALUD</v>
          </cell>
        </row>
        <row r="975">
          <cell r="B975" t="str">
            <v>PINCAY FLORES STEFANIA GABRIELA</v>
          </cell>
          <cell r="C975" t="str">
            <v>AUXILIAR DE ENFERMERIA</v>
          </cell>
        </row>
        <row r="976">
          <cell r="B976" t="str">
            <v>PINCAY INTRIAGO ROSA MARIA</v>
          </cell>
          <cell r="C976" t="str">
            <v>MEDICO/A GENERAL EN FUNCIONES HOSPITALARIAS</v>
          </cell>
        </row>
        <row r="977">
          <cell r="B977" t="str">
            <v>PINCAY MALDONADO ROQUE ORLANDO</v>
          </cell>
          <cell r="C977" t="str">
            <v>ENFERMERO/A 3</v>
          </cell>
        </row>
        <row r="978">
          <cell r="B978" t="str">
            <v>PINCAY MARCILLO STALIN ASISCLO</v>
          </cell>
          <cell r="C978" t="str">
            <v>ENFERMERO/A 3</v>
          </cell>
        </row>
        <row r="979">
          <cell r="B979" t="str">
            <v>PINCAY MOREIRA IRVING ADRIAN</v>
          </cell>
          <cell r="C979" t="str">
            <v>ANALISTA DE MANTENIMIENTO</v>
          </cell>
        </row>
        <row r="980">
          <cell r="B980" t="str">
            <v>PINCAY MUÑIZ MOISES REINALDO</v>
          </cell>
          <cell r="C980" t="str">
            <v>ENFERMERO/A 3</v>
          </cell>
        </row>
        <row r="981">
          <cell r="B981" t="str">
            <v>PINCAY PONCE MIRELDA YOLANDA</v>
          </cell>
          <cell r="C981" t="str">
            <v>AUXILIAR DE ENFERMERIA</v>
          </cell>
        </row>
        <row r="982">
          <cell r="B982" t="str">
            <v>PINCAY PROAÑO STEPHANY JAMILET</v>
          </cell>
          <cell r="C982" t="str">
            <v>ENFERMERO/A 3</v>
          </cell>
        </row>
        <row r="983">
          <cell r="B983" t="str">
            <v>PINCAY QUIMIS ERIKA LISETH</v>
          </cell>
          <cell r="C983" t="str">
            <v>ENFERMERO/A 3</v>
          </cell>
        </row>
        <row r="984">
          <cell r="B984" t="str">
            <v>PINCAY SAAVEDRA FRANK LOVERTY</v>
          </cell>
          <cell r="C984" t="str">
            <v>TECNOLOGO MEDICO DE REHABILITACION Y TERAPIA FISICA 3</v>
          </cell>
        </row>
        <row r="985">
          <cell r="B985" t="str">
            <v>PINCAY TIGUA JAHAIRA ALEXANDRA</v>
          </cell>
          <cell r="C985" t="str">
            <v>ENFERMERO/A 3</v>
          </cell>
        </row>
        <row r="986">
          <cell r="B986" t="str">
            <v>PINCHA COELLO MARIA JOSE</v>
          </cell>
          <cell r="C986" t="str">
            <v>ENFERMERO/A 3</v>
          </cell>
        </row>
        <row r="987">
          <cell r="B987" t="str">
            <v>PINTO BAYAS INES ESTEFANIA</v>
          </cell>
          <cell r="C987" t="str">
            <v>MEDICO/A GENERAL EN FUNCIONES HOSPITALARIAS</v>
          </cell>
        </row>
        <row r="988">
          <cell r="B988" t="str">
            <v>PIONCE QUIMIS MONICA LISSETTE</v>
          </cell>
          <cell r="C988" t="str">
            <v>ENFERMERO/A 3</v>
          </cell>
        </row>
        <row r="989">
          <cell r="B989" t="str">
            <v>PIONCE SANCHEZ LILIANA MARIBEL</v>
          </cell>
          <cell r="C989" t="str">
            <v>ENFERMERO/A 3</v>
          </cell>
        </row>
        <row r="990">
          <cell r="B990" t="str">
            <v>PISCO GOMEZ GUSTAVO ALEJANDRO</v>
          </cell>
          <cell r="C990" t="str">
            <v>AUXILIAR DE LABORATORIO</v>
          </cell>
        </row>
        <row r="991">
          <cell r="B991" t="str">
            <v>PLAZA AVELLAN FELIX ADRIAN</v>
          </cell>
          <cell r="C991" t="str">
            <v>MEDICO/A ESPECIALISTA EN CIRUGIA GENERAL 1</v>
          </cell>
        </row>
        <row r="992">
          <cell r="B992" t="str">
            <v>PLUA PARRALES MAURICIO JASHIR</v>
          </cell>
          <cell r="C992" t="str">
            <v>ENFERMERO/A 3</v>
          </cell>
        </row>
        <row r="993">
          <cell r="B993" t="str">
            <v>PONCE ALBUJA KATIUSKA LISSETTE</v>
          </cell>
          <cell r="C993" t="str">
            <v>ENFERMERO/A 3</v>
          </cell>
        </row>
        <row r="994">
          <cell r="B994" t="str">
            <v>PONCE NEVAREZ ALICIA CARINA</v>
          </cell>
          <cell r="C994" t="str">
            <v>MEDICO/A GENERAL EN FUNCIONES HOSPITALARIAS</v>
          </cell>
        </row>
        <row r="995">
          <cell r="B995" t="str">
            <v>PONCE PINARGOTE ANGIE LIZBETH</v>
          </cell>
          <cell r="C995" t="str">
            <v>ENFERMERO/A 3</v>
          </cell>
        </row>
        <row r="996">
          <cell r="B996" t="str">
            <v>PONCE QUIROZ PETITA MARIXSA</v>
          </cell>
          <cell r="C996" t="str">
            <v>AUXILIAR DE ENFERMERIA</v>
          </cell>
        </row>
        <row r="997">
          <cell r="B997" t="str">
            <v>PONCE SANTOS BETTY ELIZABETH</v>
          </cell>
          <cell r="C997" t="str">
            <v>MEDICO/A GENERAL EN FUNCIONES HOSPITALARIAS</v>
          </cell>
        </row>
        <row r="998">
          <cell r="B998" t="str">
            <v>PONCE TOALA KATHERINE RUTH</v>
          </cell>
          <cell r="C998" t="str">
            <v>ENFERMERO/A 3</v>
          </cell>
        </row>
        <row r="999">
          <cell r="B999" t="str">
            <v>PONCE VELEZ DANIEL ISAIAS</v>
          </cell>
          <cell r="C999" t="str">
            <v>MEDICO/A ESPECIALISTA EN ANATOMIA PATOLOGICA 1</v>
          </cell>
        </row>
        <row r="1000">
          <cell r="B1000" t="str">
            <v>PONCE VINCES JORGE WASHINGTON</v>
          </cell>
          <cell r="C1000" t="str">
            <v>ANALISTA DE ELECTROMECANICA</v>
          </cell>
        </row>
        <row r="1001">
          <cell r="B1001" t="str">
            <v>POVEDA PINARGOTE DARWIN ROLANDO</v>
          </cell>
          <cell r="C1001" t="str">
            <v>ASISTENTE DE ADMISIONES</v>
          </cell>
        </row>
        <row r="1002">
          <cell r="B1002" t="str">
            <v>PUIG CHEVEZ KELLY NICOLE</v>
          </cell>
          <cell r="C1002" t="str">
            <v>ENFERMERO/A 3</v>
          </cell>
        </row>
        <row r="1003">
          <cell r="B1003" t="str">
            <v>QUEZADA SALAZAR YECENIA ESTEFANIA</v>
          </cell>
          <cell r="C1003" t="str">
            <v>ENFERMERO/A 3</v>
          </cell>
        </row>
        <row r="1004">
          <cell r="B1004" t="str">
            <v>QUIJIJE ALVAREZ JULIO CESAR</v>
          </cell>
          <cell r="C1004" t="str">
            <v>MEDICO/A GENERAL EN FUNCIONES HOSPITALARIAS</v>
          </cell>
        </row>
        <row r="1005">
          <cell r="B1005" t="str">
            <v>QUIJIJE CUENCA KATIUSKA YADIRA</v>
          </cell>
          <cell r="C1005" t="str">
            <v>MEDICO/A ESPECIALISTA EN IMAGENOLOGIA/RADIOLOGIA 1</v>
          </cell>
        </row>
        <row r="1006">
          <cell r="B1006" t="str">
            <v>QUIJIJE DELGADO IRWIN DAVID</v>
          </cell>
          <cell r="C1006" t="str">
            <v>TECNOLOGO MEDICO DE LABORATORIO 3</v>
          </cell>
        </row>
        <row r="1007">
          <cell r="B1007" t="str">
            <v>QUIJIJE HOLGUIN ANDREA MARISOL</v>
          </cell>
          <cell r="C1007" t="str">
            <v>ENFERMERO/A 3</v>
          </cell>
        </row>
        <row r="1008">
          <cell r="B1008" t="str">
            <v>QUIJIJE INTRIAGO JONNY JOSE</v>
          </cell>
          <cell r="C1008" t="str">
            <v>ENFERMERO/A 3</v>
          </cell>
        </row>
        <row r="1009">
          <cell r="B1009" t="str">
            <v>QUIJIJE MORRILLO EUFEMIA LASTENIA</v>
          </cell>
          <cell r="C1009" t="str">
            <v>ENFERMERO/A 3</v>
          </cell>
        </row>
        <row r="1010">
          <cell r="B1010" t="str">
            <v>QUILUMBA MENDOZA MARIA CRISTINA</v>
          </cell>
          <cell r="C1010" t="str">
            <v>AUXILIAR DE ENFERMERIA</v>
          </cell>
        </row>
        <row r="1011">
          <cell r="B1011" t="str">
            <v>QUIÑONEZ CARVAJAL ELIZABETH DAYANARA</v>
          </cell>
          <cell r="C1011" t="str">
            <v>MEDICO/A GENERAL EN FUNCIONES HOSPITALARIAS</v>
          </cell>
        </row>
        <row r="1012">
          <cell r="B1012" t="str">
            <v>QUIROZ ALVAREZ FABIAN HERACLITO</v>
          </cell>
          <cell r="C1012" t="str">
            <v>TECNICO DE MANTENIMIENTO</v>
          </cell>
        </row>
        <row r="1013">
          <cell r="B1013" t="str">
            <v>QUIROZ CONFORME NARCISA VIVIANA</v>
          </cell>
          <cell r="C1013" t="str">
            <v>ENFERMERO/A 3</v>
          </cell>
        </row>
        <row r="1014">
          <cell r="B1014" t="str">
            <v>QUIROZ PONCE NIXON IGNACIO</v>
          </cell>
          <cell r="C1014" t="str">
            <v>MEDICO/A GENERAL EN FUNCIONES HOSPITALARIAS</v>
          </cell>
        </row>
        <row r="1015">
          <cell r="B1015" t="str">
            <v>QUIROZ RIVAS MARIO JAVIER</v>
          </cell>
          <cell r="C1015" t="str">
            <v>MEDICO/A ESPECIALISTA EN EMERGENCIAS Y DESASTRES 1</v>
          </cell>
        </row>
        <row r="1016">
          <cell r="B1016" t="str">
            <v>QUIROZ RODRIGUEZ JOSSELYN VERONICA</v>
          </cell>
          <cell r="C1016" t="str">
            <v>ENFERMERO/A 3</v>
          </cell>
        </row>
        <row r="1017">
          <cell r="B1017" t="str">
            <v>QUIROZ SANTOS ESTHER GUILLERMINA</v>
          </cell>
          <cell r="C1017" t="str">
            <v>ENFERMERO/A 3</v>
          </cell>
        </row>
        <row r="1018">
          <cell r="B1018" t="str">
            <v>QUIROZ ZAMBRANO CARLA MARIA</v>
          </cell>
          <cell r="C1018" t="str">
            <v>ANALISTA DE ADQUISICIONES 1</v>
          </cell>
        </row>
        <row r="1019">
          <cell r="B1019" t="str">
            <v>QUISHPE CHIQUITO MARIA PATRICIA</v>
          </cell>
          <cell r="C1019" t="str">
            <v>ENFERMERO/A 3</v>
          </cell>
        </row>
        <row r="1020">
          <cell r="B1020" t="str">
            <v>QUITO CABRERA MARIA DEL CISNE</v>
          </cell>
          <cell r="C1020" t="str">
            <v>ENFERMERO/A 3</v>
          </cell>
        </row>
        <row r="1021">
          <cell r="B1021" t="str">
            <v>QUITO CACERES MIRIAM ALEXANDRA</v>
          </cell>
          <cell r="C1021" t="str">
            <v>ENFERMERO/A 3</v>
          </cell>
        </row>
        <row r="1022">
          <cell r="B1022" t="str">
            <v>QUIZHPE MAZA NIXON FERNANDO</v>
          </cell>
          <cell r="C1022" t="str">
            <v>QUIMICO / BIOQUIMICO FARMACEUTICO 1</v>
          </cell>
        </row>
        <row r="1023">
          <cell r="B1023" t="str">
            <v>RAMIREZ GARCIA FERNANDO ANDREE</v>
          </cell>
          <cell r="C1023" t="str">
            <v>ENFERMERO/A 3</v>
          </cell>
        </row>
        <row r="1024">
          <cell r="B1024" t="str">
            <v>RAMIREZ LOOR MERCEDES ANNABELLE</v>
          </cell>
          <cell r="C1024" t="str">
            <v>AUXILIAR DE ENFERMERIA</v>
          </cell>
        </row>
        <row r="1025">
          <cell r="B1025" t="str">
            <v>RAMOS DELGADO ERICKA MARIUXI</v>
          </cell>
          <cell r="C1025" t="str">
            <v>MEDICO/A GENERAL EN FUNCIONES HOSPITALARIAS</v>
          </cell>
        </row>
        <row r="1026">
          <cell r="B1026" t="str">
            <v>REGALADO MUÑIZ LADY SORAYA</v>
          </cell>
          <cell r="C1026" t="str">
            <v>ENFERMERO/A 3</v>
          </cell>
        </row>
        <row r="1027">
          <cell r="B1027" t="str">
            <v>REGALADO PINCAY ROXANA MERCEDES</v>
          </cell>
          <cell r="C1027" t="str">
            <v>ENFERMERO/A 3</v>
          </cell>
        </row>
        <row r="1028">
          <cell r="B1028" t="str">
            <v>REINA CALDERON VIVIANA MARGARITA</v>
          </cell>
          <cell r="C1028" t="str">
            <v>ENFERMERO/A 3</v>
          </cell>
        </row>
        <row r="1029">
          <cell r="B1029" t="str">
            <v>REMACHE LIMAICO ALEJANDRA MARGARITA</v>
          </cell>
          <cell r="C1029" t="str">
            <v>ENFERMERO/A 3</v>
          </cell>
        </row>
        <row r="1030">
          <cell r="B1030" t="str">
            <v>RENGIFO LOOR VANESA VIVIANA</v>
          </cell>
          <cell r="C1030" t="str">
            <v>ENFERMERO/A 3</v>
          </cell>
        </row>
        <row r="1031">
          <cell r="B1031" t="str">
            <v>RESABALA LAZ WILSON ANDRES</v>
          </cell>
          <cell r="C1031" t="str">
            <v>ENFERMERO/A 3</v>
          </cell>
        </row>
        <row r="1032">
          <cell r="B1032" t="str">
            <v>REYES ALAY TONY BRYAN</v>
          </cell>
          <cell r="C1032" t="str">
            <v>ENFERMERO/A 3</v>
          </cell>
        </row>
        <row r="1033">
          <cell r="B1033" t="str">
            <v>REYES BARRE LOURDES VALERIA</v>
          </cell>
          <cell r="C1033" t="str">
            <v>ENFERMERO/A 3</v>
          </cell>
        </row>
        <row r="1034">
          <cell r="B1034" t="str">
            <v>REYES PINCAY JIMMY GEOVANNY</v>
          </cell>
          <cell r="C1034" t="str">
            <v>ENFERMERO/A 3</v>
          </cell>
        </row>
        <row r="1035">
          <cell r="B1035" t="str">
            <v>REYES POSLIGUA ANGELICA ANDREINA</v>
          </cell>
          <cell r="C1035" t="str">
            <v>ENFERMERO/A 3</v>
          </cell>
        </row>
        <row r="1036">
          <cell r="B1036" t="str">
            <v>REYES ROMERO BRYAN RONALD</v>
          </cell>
          <cell r="C1036" t="str">
            <v>MEDICO/A GENERAL EN FUNCIONES HOSPITALARIAS</v>
          </cell>
        </row>
        <row r="1037">
          <cell r="B1037" t="str">
            <v>REYES SANCHEZ ESTEFANIA ELIZABETH</v>
          </cell>
          <cell r="C1037" t="str">
            <v>ASISTENTE DE ADMISIONES</v>
          </cell>
        </row>
        <row r="1038">
          <cell r="B1038" t="str">
            <v>REYES VALENCIA NOHELY CAROLINA</v>
          </cell>
          <cell r="C1038" t="str">
            <v>MEDICO/A ESPECIALISTA EN OTORRINOLARINGOLOGIA 1</v>
          </cell>
        </row>
        <row r="1039">
          <cell r="B1039" t="str">
            <v>REZABALA LEONES GEMA GUADALUPE</v>
          </cell>
          <cell r="C1039" t="str">
            <v>MEDICO/A GENERAL EN FUNCIONES HOSPITALARIAS</v>
          </cell>
        </row>
        <row r="1040">
          <cell r="B1040" t="str">
            <v>REZABALA MENDOZA YANDER IGNACIO</v>
          </cell>
          <cell r="C1040" t="str">
            <v>ENFERMERO/A 3</v>
          </cell>
        </row>
        <row r="1041">
          <cell r="B1041" t="str">
            <v>REZABALA PILLIGUA LENIN STALIN</v>
          </cell>
          <cell r="C1041" t="str">
            <v>MEDICO/A ESPECIALISTA EN IMAGENOLOGIA/RADIOLOGIA 1</v>
          </cell>
        </row>
        <row r="1042">
          <cell r="B1042" t="str">
            <v>RIVADENEIRA CAICEDO ADRIANA PATRICIA</v>
          </cell>
          <cell r="C1042" t="str">
            <v>ENFERMERO/A 3</v>
          </cell>
        </row>
        <row r="1043">
          <cell r="B1043" t="str">
            <v>RIVADENEIRA CHOEZ MARTHA ALEXANDRA</v>
          </cell>
          <cell r="C1043" t="str">
            <v>MEDICO/A GENERAL EN FUNCIONES HOSPITALARIAS</v>
          </cell>
        </row>
        <row r="1044">
          <cell r="B1044" t="str">
            <v>RIVADENEIRA CHONLONG CECILIA CAROLINA</v>
          </cell>
          <cell r="C1044" t="str">
            <v>MEDICO/A GENERAL EN FUNCIONES HOSPITALARIAS</v>
          </cell>
        </row>
        <row r="1045">
          <cell r="B1045" t="str">
            <v>RIVADENEIRA LOOR GEMA GABRIELA</v>
          </cell>
          <cell r="C1045" t="str">
            <v>ENFERMERO/A 3</v>
          </cell>
        </row>
        <row r="1046">
          <cell r="B1046" t="str">
            <v>RIVADENEIRA LOPEZ MARIA GABRIELA</v>
          </cell>
          <cell r="C1046" t="str">
            <v>LABORATORISTA CLINICO 1</v>
          </cell>
        </row>
        <row r="1047">
          <cell r="B1047" t="str">
            <v>RIVAS CEVALLOS JORGE JEFRY</v>
          </cell>
          <cell r="C1047" t="str">
            <v>ENFERMERO/A 3</v>
          </cell>
          <cell r="D1047" t="str">
            <v>RESP. SERV. MEDICINA INTERNA</v>
          </cell>
        </row>
        <row r="1048">
          <cell r="B1048" t="str">
            <v>RIVERA BARRE JOSENKA LILIBETH</v>
          </cell>
          <cell r="C1048" t="str">
            <v>AUXILIAR DE ENFERMERIA</v>
          </cell>
        </row>
        <row r="1049">
          <cell r="B1049" t="str">
            <v>RIVERA FLORES JORGE ADALBERTO</v>
          </cell>
          <cell r="C1049" t="str">
            <v>AUXILIAR DE ENFERMERIA</v>
          </cell>
        </row>
        <row r="1050">
          <cell r="B1050" t="str">
            <v>RIVERA PRADO FERNANDO</v>
          </cell>
          <cell r="C1050" t="str">
            <v>DIRECTOR(A) ADMINISTRATIVO (A) FINANCIERO (A)</v>
          </cell>
        </row>
        <row r="1051">
          <cell r="B1051" t="str">
            <v>ROBEN MOREIRA IRIS MONSERRATE</v>
          </cell>
          <cell r="C1051" t="str">
            <v>ANALISTA DE PRESUPUESTO 2</v>
          </cell>
        </row>
        <row r="1052">
          <cell r="B1052" t="str">
            <v>ROBLEDO ZAMBRANO MARIUXI MAGDALENA</v>
          </cell>
          <cell r="C1052" t="str">
            <v>AUXILIAR DE ENFERMERIA</v>
          </cell>
        </row>
        <row r="1053">
          <cell r="B1053" t="str">
            <v>ROBLES ANDRADE CRISTHIAN XAVIER</v>
          </cell>
          <cell r="C1053" t="str">
            <v>MEDICO/A ESPECIALISTA EN ANESTESIOLOGIA 1</v>
          </cell>
        </row>
        <row r="1054">
          <cell r="B1054" t="str">
            <v>ROBLES ANDRADE KELVIN FABRICIO</v>
          </cell>
          <cell r="C1054" t="str">
            <v>MEDICO/A GENERAL EN FUNCIONES HOSPITALARIAS</v>
          </cell>
        </row>
        <row r="1055">
          <cell r="B1055" t="str">
            <v>ROCA CASTILLO JOSHUA FERNANDO</v>
          </cell>
          <cell r="C1055" t="str">
            <v>ENFERMERO/A 3</v>
          </cell>
        </row>
        <row r="1056">
          <cell r="B1056" t="str">
            <v>ROCA INTRIAGO JHONNY ALEJANDRO</v>
          </cell>
          <cell r="C1056" t="str">
            <v>ENFERMERO/A 3</v>
          </cell>
        </row>
        <row r="1057">
          <cell r="B1057" t="str">
            <v>ROCANO GAMBOA ALEJANDRO PATRICIO</v>
          </cell>
          <cell r="C1057" t="str">
            <v>MEDICO/A ESPECIALISTA EN CIRUGIA GENERAL 1</v>
          </cell>
        </row>
        <row r="1058">
          <cell r="B1058" t="str">
            <v>RODRIGUEZ ALCIVAR JORGE ARTURO</v>
          </cell>
          <cell r="C1058" t="str">
            <v>MEDICO/A GENERAL EN FUNCIONES HOSPITALARIAS</v>
          </cell>
        </row>
        <row r="1059">
          <cell r="B1059" t="str">
            <v>RODRIGUEZ BRAVO VERDY LUIS</v>
          </cell>
          <cell r="C1059" t="str">
            <v>AUXILIAR ADMINISTRATIVO DE SALUD DEL SECTOR SALUD</v>
          </cell>
        </row>
        <row r="1060">
          <cell r="B1060" t="str">
            <v>RODRIGUEZ CEVALLOS NATALY ESTEFANIA</v>
          </cell>
          <cell r="C1060" t="str">
            <v>ENFERMERO/A 3</v>
          </cell>
        </row>
        <row r="1061">
          <cell r="B1061" t="str">
            <v>RODRIGUEZ DELGADO JORGE EDUARDO</v>
          </cell>
          <cell r="C1061" t="str">
            <v>MEDICO/A ESPECIALISTA EN CIRUGIA GENERAL 1</v>
          </cell>
        </row>
        <row r="1062">
          <cell r="B1062" t="str">
            <v>RODRIGUEZ ESPINAL LESLY SARAY</v>
          </cell>
          <cell r="C1062" t="str">
            <v>ENFERMERO/A 3</v>
          </cell>
        </row>
        <row r="1063">
          <cell r="B1063" t="str">
            <v>RODRIGUEZ GARCIA LUIS MARIO</v>
          </cell>
          <cell r="C1063" t="str">
            <v>ENFERMERO/A 3</v>
          </cell>
        </row>
        <row r="1064">
          <cell r="B1064" t="str">
            <v>RODRIGUEZ HERNANDEZ ALEXANDER</v>
          </cell>
          <cell r="C1064" t="str">
            <v>MEDICO/A ESPECIALISTA EN CIRUGIA GENERAL 1</v>
          </cell>
        </row>
        <row r="1065">
          <cell r="B1065" t="str">
            <v>RODRIGUEZ LINO RAMON ALBERTO</v>
          </cell>
          <cell r="C1065" t="str">
            <v>ENFERMERO/A 3</v>
          </cell>
        </row>
        <row r="1066">
          <cell r="B1066" t="str">
            <v>RODRIGUEZ MACIAS MARIA ELIZABETH</v>
          </cell>
          <cell r="C1066" t="str">
            <v>MEDICO/A ESPECIALISTA EN EMERGENCIAS Y DESASTRES 1</v>
          </cell>
        </row>
        <row r="1067">
          <cell r="B1067" t="str">
            <v>RODRIGUEZ MORENO KATHERIN ELIZABETH</v>
          </cell>
          <cell r="C1067" t="str">
            <v>ENFERMERO/A 3</v>
          </cell>
        </row>
        <row r="1068">
          <cell r="B1068" t="str">
            <v>RODRIGUEZ ORDOÑEZ IVONNE STEPHANIE</v>
          </cell>
          <cell r="C1068" t="str">
            <v>MEDICO/A GENERAL EN FUNCIONES HOSPITALARIAS</v>
          </cell>
        </row>
        <row r="1069">
          <cell r="B1069" t="str">
            <v>RODRIGUEZ REYES LEYTHER BEATRIZ</v>
          </cell>
          <cell r="C1069" t="str">
            <v>ENFERMERO/A 3</v>
          </cell>
        </row>
        <row r="1070">
          <cell r="B1070" t="str">
            <v>RODRIGUEZ RIOS GONZALO ANASTACIO</v>
          </cell>
          <cell r="C1070" t="str">
            <v>MEDICO/A ESPECIALISTA EN MEDICINA INTERNA 1</v>
          </cell>
        </row>
        <row r="1071">
          <cell r="B1071" t="str">
            <v>RODRIGUEZ RIVADENEIRA ANDRES VICENTE</v>
          </cell>
          <cell r="C1071" t="str">
            <v>ANALISTA DE ADQUISICIONES 2</v>
          </cell>
        </row>
        <row r="1072">
          <cell r="B1072" t="str">
            <v>RODRIGUEZ RODRIGUEZ JOHANA AMARILYS</v>
          </cell>
          <cell r="C1072" t="str">
            <v>AUXILIAR DE ENFERMERIA</v>
          </cell>
        </row>
        <row r="1073">
          <cell r="B1073" t="str">
            <v>RODRIGUEZ VELEZ HUGO ALFREDO</v>
          </cell>
          <cell r="C1073" t="str">
            <v>MEDICO/A SUBESPECIALISTA EN CIRUGIA CARDIOVASCULAR</v>
          </cell>
        </row>
        <row r="1074">
          <cell r="B1074" t="str">
            <v>RODRIGUEZ VELEZ STEPHANIE CAROLINA</v>
          </cell>
          <cell r="C1074" t="str">
            <v>ENFERMERO/A 3</v>
          </cell>
        </row>
        <row r="1075">
          <cell r="B1075" t="str">
            <v>ROJAS GAROFALO EVELYN GABRIELA</v>
          </cell>
          <cell r="C1075" t="str">
            <v>ENFERMERO/A 3</v>
          </cell>
        </row>
        <row r="1076">
          <cell r="B1076" t="str">
            <v>ROJAS MORANTE EVELYN BETZAIDA</v>
          </cell>
          <cell r="C1076" t="str">
            <v>QUIMICO / BIOQUIMICO FARMACEUTICO 1</v>
          </cell>
        </row>
        <row r="1077">
          <cell r="B1077" t="str">
            <v>ROLDAN VELEZ MARIA ELIZABETH</v>
          </cell>
          <cell r="C1077" t="str">
            <v>AUXILIAR DE ENFERMERIA</v>
          </cell>
        </row>
        <row r="1078">
          <cell r="B1078" t="str">
            <v>ROLDAN ZAMORA CRISTHIAN GUSTAVO</v>
          </cell>
          <cell r="C1078" t="str">
            <v>TECNOLOGO MEDICO DE IMAGENOLOGIA 2</v>
          </cell>
        </row>
        <row r="1079">
          <cell r="B1079" t="str">
            <v>ROMERATE LOOR MARIA JESSENIA</v>
          </cell>
          <cell r="C1079" t="str">
            <v>ENFERMERO/A 3</v>
          </cell>
        </row>
        <row r="1080">
          <cell r="B1080" t="str">
            <v>ROMERATE ZAMBRANO ENRIQUE EDUARDO</v>
          </cell>
          <cell r="C1080" t="str">
            <v>AUXILIAR ADMINISTRATIVO DE SALUD DEL SECTOR SALUD</v>
          </cell>
        </row>
        <row r="1081">
          <cell r="B1081" t="str">
            <v>ROMERO CHICA JOSE JOEL</v>
          </cell>
          <cell r="C1081" t="str">
            <v>TECNOLOGO MEDICO DE REHABILITACION Y TERAPIA FISICA 3</v>
          </cell>
        </row>
        <row r="1082">
          <cell r="B1082" t="str">
            <v>ROMERO INTRIAGO GLADYS MAGDALENA</v>
          </cell>
          <cell r="C1082" t="str">
            <v>ENFERMERO/A 3</v>
          </cell>
        </row>
        <row r="1083">
          <cell r="B1083" t="str">
            <v>ROMERO JIMENEZ JOFFRE MARIO</v>
          </cell>
          <cell r="C1083" t="str">
            <v>MEDICO/A ESPECIALISTA EN TRAUMATOLOGIA 1</v>
          </cell>
        </row>
        <row r="1084">
          <cell r="B1084" t="str">
            <v>ROMERO LUCAS CARMEN GABRIELA</v>
          </cell>
          <cell r="C1084" t="str">
            <v>AUXILIAR DE ENFERMERIA</v>
          </cell>
        </row>
        <row r="1085">
          <cell r="B1085" t="str">
            <v>ROMERO MENDOZA BETHSY KAROLINA</v>
          </cell>
          <cell r="C1085" t="str">
            <v>ENFERMERO/A 3</v>
          </cell>
        </row>
        <row r="1086">
          <cell r="B1086" t="str">
            <v>ROMERO MINAYA ERIKA ALEJANDRA</v>
          </cell>
          <cell r="C1086" t="str">
            <v>MEDICO/A GENERAL EN FUNCIONES HOSPITALARIAS</v>
          </cell>
        </row>
        <row r="1087">
          <cell r="B1087" t="str">
            <v>ROMERO SUAREZ STEFANY NICOLE</v>
          </cell>
          <cell r="C1087" t="str">
            <v>LABORATORISTA CLINICO 1</v>
          </cell>
        </row>
        <row r="1088">
          <cell r="B1088" t="str">
            <v>ROMERO ZAMBRANO TATIANA ALEJANDRA</v>
          </cell>
          <cell r="C1088" t="str">
            <v>MEDICO/A GENERAL EN FUNCIONES HOSPITALARIAS</v>
          </cell>
        </row>
        <row r="1089">
          <cell r="B1089" t="str">
            <v>ROSADO ESPINAL MARIA FERNANDA</v>
          </cell>
          <cell r="C1089" t="str">
            <v>ENFERMERO/A 3</v>
          </cell>
        </row>
        <row r="1090">
          <cell r="B1090" t="str">
            <v>RUIZ BARREIRO NIDIA JACQUELINE</v>
          </cell>
          <cell r="C1090" t="str">
            <v>ENFERMERO/A 3</v>
          </cell>
        </row>
        <row r="1091">
          <cell r="B1091" t="str">
            <v>RUIZ DE LA CRUZ EVELYN MARIBEL</v>
          </cell>
          <cell r="C1091" t="str">
            <v>ASISTENTE DE ADMISIONES</v>
          </cell>
        </row>
        <row r="1092">
          <cell r="B1092" t="str">
            <v>RUIZ DE LA CRUZ JOSSELYN STEFANIA</v>
          </cell>
          <cell r="C1092" t="str">
            <v>ENFERMERO/A 3</v>
          </cell>
        </row>
        <row r="1093">
          <cell r="B1093" t="str">
            <v>RUIZ MERO GLORIA ALEXANDRA</v>
          </cell>
          <cell r="C1093" t="str">
            <v>AUXILIAR DE ENFERMERIA</v>
          </cell>
        </row>
        <row r="1094">
          <cell r="B1094" t="str">
            <v>RUIZ VALERIANO BETTY PAOLA</v>
          </cell>
          <cell r="C1094" t="str">
            <v>MEDICO/A ESPECIALISTA EN CIRUGIA GENERAL 1</v>
          </cell>
        </row>
        <row r="1095">
          <cell r="B1095" t="str">
            <v>RUIZ VELEZ ROSA GEMA</v>
          </cell>
          <cell r="C1095" t="str">
            <v>ENFERMERO/A 3</v>
          </cell>
        </row>
        <row r="1096">
          <cell r="B1096" t="str">
            <v>RUIZ ZAMBRANO CRISTHIAN PATRICIO</v>
          </cell>
          <cell r="C1096" t="str">
            <v>MEDICO/A GENERAL EN FUNCIONES HOSPITALARIAS</v>
          </cell>
        </row>
        <row r="1097">
          <cell r="B1097" t="str">
            <v>SABANDO CARREÑO TATIANA PAOLA</v>
          </cell>
          <cell r="C1097" t="str">
            <v>MEDICO/A ESPECIALISTA EN ONCOLOGIA 1</v>
          </cell>
        </row>
        <row r="1098">
          <cell r="B1098" t="str">
            <v>SABANDO CASTILLO ANGEL JAVIER</v>
          </cell>
          <cell r="C1098" t="str">
            <v>ENFERMERO/A 3</v>
          </cell>
        </row>
        <row r="1099">
          <cell r="B1099" t="str">
            <v>SABANDO CASTRO IRINA KELLY</v>
          </cell>
          <cell r="C1099" t="str">
            <v>MEDICO/A GENERAL EN FUNCIONES HOSPITALARIAS</v>
          </cell>
        </row>
        <row r="1100">
          <cell r="B1100" t="str">
            <v>SABANDO PAREDES GEMA STEPHANIA</v>
          </cell>
          <cell r="C1100" t="str">
            <v>ASISTENTE DE ADMISIONES</v>
          </cell>
        </row>
        <row r="1101">
          <cell r="B1101" t="str">
            <v>SABANDO VIDAL EDGAR PAUL</v>
          </cell>
          <cell r="C1101" t="str">
            <v>TECNICO DE MANTENIMIENTO</v>
          </cell>
        </row>
        <row r="1102">
          <cell r="B1102" t="str">
            <v>SACOTO MAZZINI LUIS FERNANDO</v>
          </cell>
          <cell r="C1102" t="str">
            <v>MEDICO/A GENERAL EN FUNCIONES HOSPITALARIAS</v>
          </cell>
        </row>
        <row r="1103">
          <cell r="B1103" t="str">
            <v>SALAZAR ALCIVAR CRISTHIAN DAVID</v>
          </cell>
          <cell r="C1103" t="str">
            <v>MEDICO/A GENERAL EN FUNCIONES HOSPITALARIAS</v>
          </cell>
        </row>
        <row r="1104">
          <cell r="B1104" t="str">
            <v>SALAZAR ALVAREZ FERNANDO XAVIER</v>
          </cell>
          <cell r="C1104" t="str">
            <v>MEDICO/A ESPECIALISTA EN CARDIOLOGIA 1</v>
          </cell>
        </row>
        <row r="1105">
          <cell r="B1105" t="str">
            <v>SALAZAR ALVAREZ JAHAIRA SUSSETY</v>
          </cell>
          <cell r="C1105" t="str">
            <v>MEDICO/A SUBESPECIALISTA EN PEDIATRIA CARDIOLOGICA</v>
          </cell>
        </row>
        <row r="1106">
          <cell r="B1106" t="str">
            <v>SALAZAR DEMERA MERCEDES MONCERRATE</v>
          </cell>
          <cell r="C1106" t="str">
            <v>AUXILIAR DE ENFERMERIA</v>
          </cell>
        </row>
        <row r="1107">
          <cell r="B1107" t="str">
            <v>SALAZAR FIGUEROA ALVARO RODRIGO</v>
          </cell>
          <cell r="C1107" t="str">
            <v>MEDICO/A SUBESPECIALISTA EN INFECTOLOGIA</v>
          </cell>
        </row>
        <row r="1108">
          <cell r="B1108" t="str">
            <v>SALAZAR MARTINEZ DIEGO ORLANDO</v>
          </cell>
          <cell r="C1108" t="str">
            <v>MEDICO/A ESPECIALISTA EN EMERGENCIAS Y DESASTRES 1</v>
          </cell>
        </row>
        <row r="1109">
          <cell r="B1109" t="str">
            <v>SALAZAR VELEZ MARIA JOCELYN</v>
          </cell>
          <cell r="C1109" t="str">
            <v>MEDICO/A ESPECIALISTA EN CUIDADOS INTENSIVOS 1</v>
          </cell>
        </row>
        <row r="1110">
          <cell r="B1110" t="str">
            <v>SALCEDO VERGARA KINDELY KATHERINE</v>
          </cell>
          <cell r="C1110" t="str">
            <v>MEDICO/A GENERAL EN FUNCIONES HOSPITALARIAS</v>
          </cell>
        </row>
        <row r="1111">
          <cell r="B1111" t="str">
            <v>SALCEDO ZAMBRANO ANGIE MABEL</v>
          </cell>
          <cell r="C1111" t="str">
            <v>TECNOLOGO MEDICO DE IMAGENOLOGIA 3</v>
          </cell>
        </row>
        <row r="1112">
          <cell r="B1112" t="str">
            <v>SALTOS BRAVO JULIO HERNAN</v>
          </cell>
          <cell r="C1112" t="str">
            <v>AUXILIAR DE LABORATORIO</v>
          </cell>
        </row>
        <row r="1113">
          <cell r="B1113" t="str">
            <v>SALTOS DURAN ESTHER GABRIELA</v>
          </cell>
          <cell r="C1113" t="str">
            <v>MEDICO/A SUBESPECIALISTA EN CUIDADOS INTENSIVOS PEDIATRICOS</v>
          </cell>
        </row>
        <row r="1114">
          <cell r="B1114" t="str">
            <v>SALTOS GOMEZ JUAN CARLOS</v>
          </cell>
          <cell r="C1114" t="str">
            <v>MEDICO/A ESPECIALISTA EN MEDICINA FISICA Y REHABILITACION 1</v>
          </cell>
          <cell r="D1114" t="str">
            <v xml:space="preserve">RESP. SERV REHABILITACION </v>
          </cell>
        </row>
        <row r="1115">
          <cell r="B1115" t="str">
            <v>SALTOS GUERRERO JENY PATRICIA</v>
          </cell>
          <cell r="C1115" t="str">
            <v>ENFERMERO/A 3</v>
          </cell>
        </row>
        <row r="1116">
          <cell r="B1116" t="str">
            <v>SALTOS MERO LIDER ANTONIO</v>
          </cell>
          <cell r="C1116" t="str">
            <v>AUXILIAR ADMINISTRATIVO DE SALUD DEL SECTOR SALUD</v>
          </cell>
        </row>
        <row r="1117">
          <cell r="B1117" t="str">
            <v>SALTOS MOREIRA YOLANDA LISBETH</v>
          </cell>
          <cell r="C1117" t="str">
            <v>ENFERMERO/A 3</v>
          </cell>
        </row>
        <row r="1118">
          <cell r="B1118" t="str">
            <v>SALTOS REYES RICHARD ESTEBAN</v>
          </cell>
          <cell r="C1118" t="str">
            <v>ENFERMERO/A 3</v>
          </cell>
        </row>
        <row r="1119">
          <cell r="B1119" t="str">
            <v>SALTOS SANCHEZ MARIA GABRIELA</v>
          </cell>
          <cell r="C1119" t="str">
            <v>ANALISTA DE ADMISIONES</v>
          </cell>
        </row>
        <row r="1120">
          <cell r="B1120" t="str">
            <v>SALVADOR SAAVEDRA DANIEL FEDERICO</v>
          </cell>
          <cell r="C1120" t="str">
            <v>MEDICO/A GENERAL EN FUNCIONES HOSPITALARIAS</v>
          </cell>
        </row>
        <row r="1121">
          <cell r="B1121" t="str">
            <v>SALVATIERRA MISE ROSA EDITH</v>
          </cell>
          <cell r="C1121" t="str">
            <v>ENFERMERO/A 3</v>
          </cell>
        </row>
        <row r="1122">
          <cell r="B1122" t="str">
            <v>SAMPEDRO VASQUEZ ENOC NATANAEL</v>
          </cell>
          <cell r="C1122" t="str">
            <v>AUXILIAR DE ENFERMERIA</v>
          </cell>
        </row>
        <row r="1123">
          <cell r="B1123" t="str">
            <v>SANCAN GOMEZ HAYDE MARIA</v>
          </cell>
          <cell r="C1123" t="str">
            <v>ENFERMERO/A 3</v>
          </cell>
        </row>
        <row r="1124">
          <cell r="B1124" t="str">
            <v>SANCAN JALCA BYRON HEBERTH</v>
          </cell>
          <cell r="C1124" t="str">
            <v>MEDICO/A ESPECIALISTA EN GENETICA 1</v>
          </cell>
        </row>
        <row r="1125">
          <cell r="B1125" t="str">
            <v>SANCAN MORAN ARIOT VINICIO</v>
          </cell>
          <cell r="C1125" t="str">
            <v>MEDICO/A ESPECIALISTA EN CUIDADOS INTENSIVOS 1</v>
          </cell>
        </row>
        <row r="1126">
          <cell r="B1126" t="str">
            <v>SANCAN MORAN TONY DAVID</v>
          </cell>
          <cell r="C1126" t="str">
            <v>MEDICO/A ESPECIALISTA EN CARDIOLOGIA 1</v>
          </cell>
        </row>
        <row r="1127">
          <cell r="B1127" t="str">
            <v>SANCHEZ ANCHUNDIA JIMMY GEOVANNY</v>
          </cell>
          <cell r="C1127" t="str">
            <v>AUXILIAR DE FARMACIA</v>
          </cell>
        </row>
        <row r="1128">
          <cell r="B1128" t="str">
            <v>SANCHEZ CEDEÑO LUIS MANUEL</v>
          </cell>
          <cell r="C1128" t="str">
            <v>MEDICO/A ESPECIALISTA EN CUIDADOS INTENSIVOS 1</v>
          </cell>
        </row>
        <row r="1129">
          <cell r="B1129" t="str">
            <v>SANCHEZ CEDEÑO MICHELLE ANTONELLA</v>
          </cell>
          <cell r="C1129" t="str">
            <v>MEDICO/A GENERAL EN FUNCIONES HOSPITALARIAS</v>
          </cell>
        </row>
        <row r="1130">
          <cell r="B1130" t="str">
            <v>SANCHEZ MARQUEZ MARIA ELENA</v>
          </cell>
          <cell r="C1130" t="str">
            <v>MEDICO/A ESPECIALISTA EN ONCOLOGIA 1</v>
          </cell>
        </row>
        <row r="1131">
          <cell r="B1131" t="str">
            <v>SANCHEZ PINCAY MELIDA MERCEDES</v>
          </cell>
          <cell r="C1131" t="str">
            <v>ENFERMERO/A 3</v>
          </cell>
        </row>
        <row r="1132">
          <cell r="B1132" t="str">
            <v>SANCHEZ TORRES RICARDO NAHIN</v>
          </cell>
          <cell r="C1132" t="str">
            <v>ENFERMERO/A 3</v>
          </cell>
        </row>
        <row r="1133">
          <cell r="B1133" t="str">
            <v>SANCHEZ VELEZ ANGELA MARIA</v>
          </cell>
          <cell r="C1133" t="str">
            <v>EPIDEMIOLOGO/A DE VIGILANCIA HOSPITALARIA</v>
          </cell>
        </row>
        <row r="1134">
          <cell r="B1134" t="str">
            <v>SANCHEZ VELEZ JOSSELYN ANDREINA</v>
          </cell>
          <cell r="C1134" t="str">
            <v>MEDICO/A GENERAL EN FUNCIONES HOSPITALARIAS</v>
          </cell>
        </row>
        <row r="1135">
          <cell r="B1135" t="str">
            <v>SANCLEMENTE NUÑEZ YURY JORDANO</v>
          </cell>
          <cell r="C1135" t="str">
            <v>TECNOLOGO MEDICO DE MEDICINA TRANSFUSIONAL 3</v>
          </cell>
        </row>
        <row r="1136">
          <cell r="B1136" t="str">
            <v>SANDOVAL SUAREZ YURBI NATHALIE</v>
          </cell>
          <cell r="C1136" t="str">
            <v>ENFERMERO/A 3</v>
          </cell>
        </row>
        <row r="1137">
          <cell r="B1137" t="str">
            <v>SANTACRUZ GALARZA LIDER JAVIER</v>
          </cell>
          <cell r="C1137" t="str">
            <v>AUXILIAR ADMINISTRATIVO DE SALUD DEL SECTOR SALUD</v>
          </cell>
        </row>
        <row r="1138">
          <cell r="B1138" t="str">
            <v>SANTANA ALAVA YESSICA MARIA</v>
          </cell>
          <cell r="C1138" t="str">
            <v>ANALISTA DE TALENTO HUMANO 1</v>
          </cell>
        </row>
        <row r="1139">
          <cell r="B1139" t="str">
            <v>SANTANA BAQUE MERCEDES DEL CONSUELO</v>
          </cell>
          <cell r="C1139" t="str">
            <v>ENFERMERO/A 3</v>
          </cell>
        </row>
        <row r="1140">
          <cell r="B1140" t="str">
            <v>SANTANA CHAVEZ JOSEFA PATRICIA</v>
          </cell>
          <cell r="C1140" t="str">
            <v>TERAPISTA DE LENGUAJE Y AUDITIVA</v>
          </cell>
        </row>
        <row r="1141">
          <cell r="B1141" t="str">
            <v>SANTANA ESPINALES ANDERSSON ALEXANDER</v>
          </cell>
          <cell r="C1141" t="str">
            <v>TECNOLOGO MEDICO DE IMAGENOLOGIA 3</v>
          </cell>
        </row>
        <row r="1142">
          <cell r="B1142" t="str">
            <v>SANTANA GONZALEZ ISIDRO ROBERTO</v>
          </cell>
          <cell r="C1142" t="str">
            <v>MEDICO/A GENERAL EN FUNCIONES HOSPITALARIAS</v>
          </cell>
        </row>
        <row r="1143">
          <cell r="B1143" t="str">
            <v>SANTANA GONZALEZ SOPHIA ISABEL</v>
          </cell>
          <cell r="C1143" t="str">
            <v>MEDICO/A GENERAL EN FUNCIONES HOSPITALARIAS</v>
          </cell>
        </row>
        <row r="1144">
          <cell r="B1144" t="str">
            <v>SANTANA REYES MARIA FERNANDA</v>
          </cell>
          <cell r="C1144" t="str">
            <v>ENFERMERO/A 3</v>
          </cell>
        </row>
        <row r="1145">
          <cell r="B1145" t="str">
            <v>SANTANA SALTOS CARLOS ALFREDO</v>
          </cell>
          <cell r="C1145" t="str">
            <v>ENFERMERO/A 3</v>
          </cell>
        </row>
        <row r="1146">
          <cell r="B1146" t="str">
            <v>SANTANA VALENCIA JESSICA MARIUXI</v>
          </cell>
          <cell r="C1146" t="str">
            <v>AUXILIAR DE ENFERMERIA</v>
          </cell>
        </row>
        <row r="1147">
          <cell r="B1147" t="str">
            <v>SANTANA ZAMBRANO MARIA ALEJANDRA</v>
          </cell>
          <cell r="C1147" t="str">
            <v>AUXILIAR DE ENFERMERIA</v>
          </cell>
        </row>
        <row r="1148">
          <cell r="B1148" t="str">
            <v>SANTILLAN CARVAJAL CARLOS ARMANDO</v>
          </cell>
          <cell r="C1148" t="str">
            <v>LABORATORISTA CLINICO 1</v>
          </cell>
        </row>
        <row r="1149">
          <cell r="B1149" t="str">
            <v>SANTOS BRIONES KEVIN LUIS</v>
          </cell>
          <cell r="C1149" t="str">
            <v>ENFERMERO/A 3</v>
          </cell>
        </row>
        <row r="1150">
          <cell r="B1150" t="str">
            <v>SANTOS COBEÑA MARIA FERNANDA</v>
          </cell>
          <cell r="C1150" t="str">
            <v>MEDICO/A ESPECIALISTA EN CIRUGIA GENERAL 1</v>
          </cell>
        </row>
        <row r="1151">
          <cell r="B1151" t="str">
            <v>SANTOS COLAMARCO GEMA FERNANDA</v>
          </cell>
          <cell r="C1151" t="str">
            <v>ENFERMERO/A 3</v>
          </cell>
        </row>
        <row r="1152">
          <cell r="B1152" t="str">
            <v>SANTOS GONZALEZ NARCISA ISABEL</v>
          </cell>
          <cell r="C1152" t="str">
            <v>ANALISTA DE ACTIVOS FIJOS 1</v>
          </cell>
        </row>
        <row r="1153">
          <cell r="B1153" t="str">
            <v>SARANGO GRANDA SULY ALEXANDRA</v>
          </cell>
          <cell r="C1153" t="str">
            <v>MEDICO/A GENERAL EN FUNCIONES HOSPITALARIAS</v>
          </cell>
        </row>
        <row r="1154">
          <cell r="B1154" t="str">
            <v>SARANGO QUINDE MONICA ELIZABETH</v>
          </cell>
          <cell r="C1154" t="str">
            <v>QUIMICO / BIOQUIMICO FARMACEUTICO 1</v>
          </cell>
        </row>
        <row r="1155">
          <cell r="B1155" t="str">
            <v>SERRANO RACINES ALEJANDRA SALOME</v>
          </cell>
          <cell r="C1155" t="str">
            <v>TECNOLOGO MEDICO DE IMAGENOLOGIA 2</v>
          </cell>
        </row>
        <row r="1156">
          <cell r="B1156" t="str">
            <v>SILVA MACIAS SILVIA ELEANNE</v>
          </cell>
          <cell r="C1156" t="str">
            <v>AUXILIAR DE ENFERMERIA</v>
          </cell>
        </row>
        <row r="1157">
          <cell r="B1157" t="str">
            <v>SILVA NARVAEZ ERIKA ALEXANDRA</v>
          </cell>
          <cell r="C1157" t="str">
            <v>MEDICO/A SUBESPECIALISTA EN CUIDADOS INTENSIVOS PEDIATRICOS</v>
          </cell>
        </row>
        <row r="1158">
          <cell r="B1158" t="str">
            <v>SOLEDISPA CEDEÑO NATHALY NAHOMY</v>
          </cell>
          <cell r="C1158" t="str">
            <v>LABORATORISTA CLINICO 1</v>
          </cell>
        </row>
        <row r="1159">
          <cell r="B1159" t="str">
            <v>SOLEDISPA PIBAQUE LISBETH JULISSA</v>
          </cell>
          <cell r="C1159" t="str">
            <v>ENFERMERO/A 3</v>
          </cell>
        </row>
        <row r="1160">
          <cell r="B1160" t="str">
            <v>SOLORZANO ALCIVAR DIGNA LILIBETH</v>
          </cell>
          <cell r="C1160" t="str">
            <v>MEDICO/A GENERAL EN FUNCIONES HOSPITALARIAS</v>
          </cell>
        </row>
        <row r="1161">
          <cell r="B1161" t="str">
            <v>SOLORZANO ANDRADE YOHANNA MONSERRATE</v>
          </cell>
          <cell r="C1161" t="str">
            <v>AUXILIAR DE ENFERMERIA</v>
          </cell>
        </row>
        <row r="1162">
          <cell r="B1162" t="str">
            <v>SOLORZANO CAICEDO NINA SULEYKA</v>
          </cell>
          <cell r="C1162" t="str">
            <v>MEDICO/A GENERAL EN FUNCIONES HOSPITALARIAS</v>
          </cell>
        </row>
        <row r="1163">
          <cell r="B1163" t="str">
            <v>SOLORZANO GANCHOZO EDITH JESSENIA</v>
          </cell>
          <cell r="C1163" t="str">
            <v>ANALISTA DE CONTABILIDAD 1</v>
          </cell>
        </row>
        <row r="1164">
          <cell r="B1164" t="str">
            <v>SOLORZANO GARCIA ONOFRE JACINTO</v>
          </cell>
          <cell r="C1164" t="str">
            <v>MEDICO/A ESPECIALISTA EN CIRUGIA GENERAL 1</v>
          </cell>
        </row>
        <row r="1165">
          <cell r="B1165" t="str">
            <v>SOLORZANO MENDOZA JAHAIRA MONSERRATE</v>
          </cell>
          <cell r="C1165" t="str">
            <v>ENFERMERO/A 3</v>
          </cell>
        </row>
        <row r="1166">
          <cell r="B1166" t="str">
            <v>SOLORZANO MENDOZA TATIANA JAHAIRA</v>
          </cell>
          <cell r="C1166" t="str">
            <v>ENFERMERO/A 3</v>
          </cell>
        </row>
        <row r="1167">
          <cell r="B1167" t="str">
            <v>SOLORZANO MOREIRA ALEXANDRA MONSERRATE</v>
          </cell>
          <cell r="C1167" t="str">
            <v>AUXILIAR DE ENFERMERIA</v>
          </cell>
        </row>
        <row r="1168">
          <cell r="B1168" t="str">
            <v>SOLORZANO PONCE NAYELY MONSERRATE</v>
          </cell>
          <cell r="C1168" t="str">
            <v>MEDICO/A GENERAL EN FUNCIONES HOSPITALARIAS</v>
          </cell>
        </row>
        <row r="1169">
          <cell r="B1169" t="str">
            <v>SOLORZANO QUIROZ ROSA ALEXANDRA</v>
          </cell>
          <cell r="C1169" t="str">
            <v>AUXILIAR DE ENFERMERIA</v>
          </cell>
        </row>
        <row r="1170">
          <cell r="B1170" t="str">
            <v>SOLORZANO SABANDO KARLA MERCEDES</v>
          </cell>
          <cell r="C1170" t="str">
            <v>MEDICO/A SUBESPECIALISTA EN NEUMOLOGIA PEDIATRICA</v>
          </cell>
        </row>
        <row r="1171">
          <cell r="B1171" t="str">
            <v>SOLORZANO ZAMBRANO ANDRES GABRIEL</v>
          </cell>
          <cell r="C1171" t="str">
            <v>ENFERMERO/A 3</v>
          </cell>
        </row>
        <row r="1172">
          <cell r="B1172" t="str">
            <v>SOLORZANO ZAMBRANO DANIEL ALEJANDRO</v>
          </cell>
          <cell r="C1172" t="str">
            <v>TECNICO DE MANTENIMIENTO</v>
          </cell>
        </row>
        <row r="1173">
          <cell r="B1173" t="str">
            <v>SOLORZANO ZAMBRANO GEMA MARIA</v>
          </cell>
          <cell r="C1173" t="str">
            <v>MEDICO/A SUBESPECIALISTA EN HEMATOLOGIA, ONCOLOGIA PEDIATRICA</v>
          </cell>
        </row>
        <row r="1174">
          <cell r="B1174" t="str">
            <v>SORNOZA BRIONES IRENE MONSERRATE</v>
          </cell>
          <cell r="C1174" t="str">
            <v>MEDICO/A GENERAL EN FUNCIONES HOSPITALARIAS</v>
          </cell>
        </row>
        <row r="1175">
          <cell r="B1175" t="str">
            <v>SORNOZA BRIONES JOFFRE RUTDAEL</v>
          </cell>
          <cell r="C1175" t="str">
            <v>AUXILIAR ADMINISTRATIVO DE SALUD DEL SECTOR SALUD</v>
          </cell>
        </row>
        <row r="1176">
          <cell r="B1176" t="str">
            <v>SORNOZA CEDEÑO ERICKA KATIUSKA</v>
          </cell>
          <cell r="C1176" t="str">
            <v>MEDICO/A GENERAL EN FUNCIONES HOSPITALARIAS</v>
          </cell>
        </row>
        <row r="1177">
          <cell r="B1177" t="str">
            <v>SORNOZA GARCIA JOSUE FABIAN</v>
          </cell>
          <cell r="C1177" t="str">
            <v>MEDICO/A GENERAL EN FUNCIONES HOSPITALARIAS</v>
          </cell>
        </row>
        <row r="1178">
          <cell r="B1178" t="str">
            <v>SORNOZA MERA NEXY FERNANDA</v>
          </cell>
          <cell r="C1178" t="str">
            <v>ENFERMERO/A 3</v>
          </cell>
        </row>
        <row r="1179">
          <cell r="B1179" t="str">
            <v>SUAREZ ALVAREZ DANIELA CRISTINA</v>
          </cell>
          <cell r="C1179" t="str">
            <v>ENFERMERO/A 3</v>
          </cell>
        </row>
        <row r="1180">
          <cell r="B1180" t="str">
            <v>SUAREZ BARCO LUIS FELIPE</v>
          </cell>
          <cell r="C1180" t="str">
            <v>MEDICO/A GENERAL EN FUNCIONES HOSPITALARIAS</v>
          </cell>
        </row>
        <row r="1181">
          <cell r="B1181" t="str">
            <v>SUAREZ ESPINOZA ALEX FERNANDO</v>
          </cell>
          <cell r="C1181" t="str">
            <v>TECNOLOGO MEDICO DE IMAGENOLOGIA 3</v>
          </cell>
        </row>
        <row r="1182">
          <cell r="B1182" t="str">
            <v>SUAREZ GARCIA MARIO ALBERTO</v>
          </cell>
          <cell r="C1182" t="str">
            <v>MEDICO/A ESPECIALISTA EN CIRUGIA GASTROENTEROLOGICA 1</v>
          </cell>
        </row>
        <row r="1183">
          <cell r="B1183" t="str">
            <v>SUAREZ LEON GLADYS CAROLINA</v>
          </cell>
          <cell r="C1183" t="str">
            <v>ENFERMERO/A 3</v>
          </cell>
        </row>
        <row r="1184">
          <cell r="B1184" t="str">
            <v>SUNIAGA HERNANDEZ ZABDI DANIELA</v>
          </cell>
          <cell r="C1184" t="str">
            <v>AUXILIAR DE ENFERMERIA</v>
          </cell>
        </row>
        <row r="1185">
          <cell r="B1185" t="str">
            <v>TANDAZO MERA ALBERTO ELISEO</v>
          </cell>
          <cell r="C1185" t="str">
            <v>TECNOLOGO MEDICO DE REHABILITACION Y TERAPIA FISICA 2</v>
          </cell>
        </row>
        <row r="1186">
          <cell r="B1186" t="str">
            <v>TASIGCHANA SABANDO PASTORA YAMILY</v>
          </cell>
          <cell r="C1186" t="str">
            <v>AUXILIAR DE ENFERMERIA</v>
          </cell>
        </row>
        <row r="1187">
          <cell r="B1187" t="str">
            <v>TEJENA PEÑAFIEL DIANA MARIELA</v>
          </cell>
          <cell r="C1187" t="str">
            <v>ENFERMERO/A 3</v>
          </cell>
        </row>
        <row r="1188">
          <cell r="B1188" t="str">
            <v>TELLO CEDEÑO EDITH ANAEL</v>
          </cell>
          <cell r="C1188" t="str">
            <v>MEDICO/A ESPECIALISTA EN NEFROLOGIA 1</v>
          </cell>
        </row>
        <row r="1189">
          <cell r="B1189" t="str">
            <v>TELLO PATIÑO MABEL INDAURA</v>
          </cell>
          <cell r="C1189" t="str">
            <v>ENFERMERO/A 3</v>
          </cell>
        </row>
        <row r="1190">
          <cell r="B1190" t="str">
            <v>TELLO PILLIGUA GABRIEL LEONARDO</v>
          </cell>
          <cell r="C1190" t="str">
            <v>TECNOLOGO MEDICO DE LABORATORIO 1</v>
          </cell>
        </row>
        <row r="1191">
          <cell r="B1191" t="str">
            <v>TERAN GOVEA FABERTH MIGUEL</v>
          </cell>
          <cell r="C1191" t="str">
            <v>MEDICO/A ESPECIALISTA EN IMAGENOLOGIA/RADIOLOGIA 1</v>
          </cell>
        </row>
        <row r="1192">
          <cell r="B1192" t="str">
            <v>TOALA BAILON GRETTY TATIANA</v>
          </cell>
          <cell r="C1192" t="str">
            <v>ENFERMERO/A 3</v>
          </cell>
        </row>
        <row r="1193">
          <cell r="B1193" t="str">
            <v>TOALA BARTOLOME KATTYA MARIUXI</v>
          </cell>
          <cell r="C1193" t="str">
            <v>ENFERMERO/A 3</v>
          </cell>
        </row>
        <row r="1194">
          <cell r="B1194" t="str">
            <v>TOALA CASTRO MARIA LORENA</v>
          </cell>
          <cell r="C1194" t="str">
            <v>AUXILIAR DE LABORATORIO</v>
          </cell>
        </row>
        <row r="1195">
          <cell r="B1195" t="str">
            <v>TOALA LOOR MICHAEL BRYAN</v>
          </cell>
          <cell r="C1195" t="str">
            <v>MEDICO/A GENERAL EN FUNCIONES HOSPITALARIAS</v>
          </cell>
        </row>
        <row r="1196">
          <cell r="B1196" t="str">
            <v>TOALA MEDINA JIMMY DANIEL</v>
          </cell>
          <cell r="C1196" t="str">
            <v>TECNOLOGO MEDICO DE IMAGENOLOGIA 3</v>
          </cell>
        </row>
        <row r="1197">
          <cell r="B1197" t="str">
            <v>TOALA PINCAY KAREN MELISSA</v>
          </cell>
          <cell r="C1197" t="str">
            <v>ENFERMERO/A 3</v>
          </cell>
        </row>
        <row r="1198">
          <cell r="B1198" t="str">
            <v>TOALA RODRIGUEZ DANNY ALEXANDRA</v>
          </cell>
          <cell r="C1198" t="str">
            <v>TECNOLOGO MEDICO DE MEDICINA TRANSFUSIONAL 3</v>
          </cell>
        </row>
        <row r="1199">
          <cell r="B1199" t="str">
            <v>TORO VELEZ MARIA ELIZABETH</v>
          </cell>
          <cell r="C1199" t="str">
            <v>ENFERMERO/A 3</v>
          </cell>
        </row>
        <row r="1200">
          <cell r="B1200" t="str">
            <v>TRIGUERO GARCIA ANA GABRIELA</v>
          </cell>
          <cell r="C1200" t="str">
            <v>TECNOLOGO MEDICO DE IMAGENOLOGIA 3</v>
          </cell>
        </row>
        <row r="1201">
          <cell r="B1201" t="str">
            <v>TRIVIÑO CHEVEZ LEONARDO EDUARDO</v>
          </cell>
          <cell r="C1201" t="str">
            <v>AUXILIAR DE ENFERMERIA</v>
          </cell>
        </row>
        <row r="1202">
          <cell r="B1202" t="str">
            <v>TRIVIÑO CHEVEZ MELISSA PRISCILA</v>
          </cell>
          <cell r="C1202" t="str">
            <v>ENFERMERO/A 3</v>
          </cell>
        </row>
        <row r="1203">
          <cell r="B1203" t="str">
            <v>TRIVIÑO DELGADO DIANA CAROLINA</v>
          </cell>
          <cell r="C1203" t="str">
            <v>LABORATORISTA CLINICO 1</v>
          </cell>
        </row>
        <row r="1204">
          <cell r="B1204" t="str">
            <v>TRIVIÑO TOALA JENNIFFER MONSERRATE</v>
          </cell>
          <cell r="C1204" t="str">
            <v>ENFERMERO/A 3</v>
          </cell>
        </row>
        <row r="1205">
          <cell r="B1205" t="str">
            <v>TUAREZ MANZABA LIVINGTON ALBERTO</v>
          </cell>
          <cell r="C1205" t="str">
            <v>TECNICO DE MANTENIMIENTO</v>
          </cell>
        </row>
        <row r="1206">
          <cell r="B1206" t="str">
            <v>TUAREZ PISCO GEMA MONSERRATE</v>
          </cell>
          <cell r="C1206" t="str">
            <v>ASISTENTE DE ADMISIONES</v>
          </cell>
        </row>
        <row r="1207">
          <cell r="B1207" t="str">
            <v>TUMBACO CORDOVA JESSICA MARIA</v>
          </cell>
          <cell r="C1207" t="str">
            <v>MEDICO/A SUBESPECIALISTA EN TRAUMATOLOGIA PEDIATRICA</v>
          </cell>
        </row>
        <row r="1208">
          <cell r="B1208" t="str">
            <v>TUMBACO MANRIQUE CINTHIA KATHERINE</v>
          </cell>
          <cell r="C1208" t="str">
            <v>AUXILIAR DE LABORATORIO</v>
          </cell>
        </row>
        <row r="1209">
          <cell r="B1209" t="str">
            <v>TUMBACO TUMBACO SANDRA CLEMENCIA</v>
          </cell>
          <cell r="C1209" t="str">
            <v>MEDICO/A GENERAL EN FUNCIONES HOSPITALARIAS</v>
          </cell>
        </row>
        <row r="1210">
          <cell r="B1210" t="str">
            <v>TUMBACO TUMBACO TATIANA JESUS</v>
          </cell>
          <cell r="C1210" t="str">
            <v>MEDICO/A ESPECIALISTA EN TRAUMATOLOGIA 1</v>
          </cell>
        </row>
        <row r="1211">
          <cell r="B1211" t="str">
            <v>VACA BERMUDEZ SILVIA MARIA</v>
          </cell>
          <cell r="C1211" t="str">
            <v>TRABAJADOR/A SOCIAL 1</v>
          </cell>
        </row>
        <row r="1212">
          <cell r="B1212" t="str">
            <v>VACAS MOREIRA JUAN ENRIQUE</v>
          </cell>
          <cell r="C1212" t="str">
            <v>MEDICO/A ESPECIALISTA EN MEDICINA FISICA Y REHABILITACION 1</v>
          </cell>
        </row>
        <row r="1213">
          <cell r="B1213" t="str">
            <v>VALAREZO VERDUGA ANA PAULA</v>
          </cell>
          <cell r="C1213" t="str">
            <v>ASISTENTE ADMINISTRATIVO 1</v>
          </cell>
        </row>
        <row r="1214">
          <cell r="B1214" t="str">
            <v>VALDIVIESO VALDIVIESO JOSE ANTONIO</v>
          </cell>
          <cell r="C1214" t="str">
            <v>AUXILIAR DE ENFERMERIA</v>
          </cell>
        </row>
        <row r="1215">
          <cell r="B1215" t="str">
            <v>VALDIVIEZO CEDEÑO SASKHIA LINDANA</v>
          </cell>
          <cell r="C1215" t="str">
            <v>TECNOLOGO MEDICO DE IMAGENOLOGIA 2</v>
          </cell>
        </row>
        <row r="1216">
          <cell r="B1216" t="str">
            <v>VALDIVIEZO MACIAS JESSICA LICETH</v>
          </cell>
          <cell r="C1216" t="str">
            <v>ENFERMERO/A 3</v>
          </cell>
        </row>
        <row r="1217">
          <cell r="B1217" t="str">
            <v>VALDIVIEZO MERO GEMA BIANEY</v>
          </cell>
          <cell r="C1217" t="str">
            <v>AUXILIAR DE ENFERMERIA</v>
          </cell>
        </row>
        <row r="1218">
          <cell r="B1218" t="str">
            <v>VALDIVIEZO ROMAN RAMON EDULFO</v>
          </cell>
          <cell r="C1218" t="str">
            <v>AUXILIAR ADMINISTRATIVO DE SALUD DEL SECTOR SALUD</v>
          </cell>
        </row>
        <row r="1219">
          <cell r="B1219" t="str">
            <v>VALDIVIEZO ROMERO JORGE LUIS</v>
          </cell>
          <cell r="C1219" t="str">
            <v>AUXILIAR ADMINISTRATIVO DE SALUD DEL SECTOR SALUD</v>
          </cell>
        </row>
        <row r="1220">
          <cell r="B1220" t="str">
            <v>VALENCIA GAMBOA ANDREA VICTORIA</v>
          </cell>
          <cell r="C1220" t="str">
            <v>ENFERMERO/A 3</v>
          </cell>
        </row>
        <row r="1221">
          <cell r="B1221" t="str">
            <v>VALENCIA GARCIA ENMA LILIANA</v>
          </cell>
          <cell r="C1221" t="str">
            <v>ENFERMERO/A 3</v>
          </cell>
        </row>
        <row r="1222">
          <cell r="B1222" t="str">
            <v>VALENCIA GLEGAN HANNA JIANNINA</v>
          </cell>
          <cell r="C1222" t="str">
            <v>ENFERMERO/A 3</v>
          </cell>
        </row>
        <row r="1223">
          <cell r="B1223" t="str">
            <v>VALENCIA MENDOZA DAVID WILLIAMS</v>
          </cell>
          <cell r="C1223" t="str">
            <v>TECNOLOGO MEDICO DE IMAGENOLOGIA 3</v>
          </cell>
        </row>
        <row r="1224">
          <cell r="B1224" t="str">
            <v>VALERIANO GURUMENDI SHIRLEY PATRICIA</v>
          </cell>
          <cell r="C1224" t="str">
            <v>DIRECTOR(A) ADMINISTRATIVO (A) FINANCIERO (A)</v>
          </cell>
        </row>
        <row r="1225">
          <cell r="B1225" t="str">
            <v>VALLADARES SUQUILANDA MARIA JOSE</v>
          </cell>
          <cell r="C1225" t="str">
            <v>MEDICO/A GENERAL EN FUNCIONES HOSPITALARIAS</v>
          </cell>
        </row>
        <row r="1226">
          <cell r="B1226" t="str">
            <v>VALLE CEDEÑO KATHERINE LISBETH</v>
          </cell>
          <cell r="C1226" t="str">
            <v>ENFERMERO/A 3</v>
          </cell>
        </row>
        <row r="1227">
          <cell r="B1227" t="str">
            <v>VALLE ROMERO ANA GABRIELA</v>
          </cell>
          <cell r="C1227" t="str">
            <v>AUXILIAR DE ENFERMERIA</v>
          </cell>
        </row>
        <row r="1228">
          <cell r="B1228" t="str">
            <v>VALLE ROMERO MAYRA ALEXANDRA</v>
          </cell>
          <cell r="C1228" t="str">
            <v>AUXILIAR DE ENFERMERIA</v>
          </cell>
        </row>
        <row r="1229">
          <cell r="B1229" t="str">
            <v>VALLE VELIZ KELLY SHANEL</v>
          </cell>
          <cell r="C1229" t="str">
            <v>ENFERMERO/A 3</v>
          </cell>
        </row>
        <row r="1230">
          <cell r="B1230" t="str">
            <v>VALLEJO MACIAS JIMMY GABRIEL</v>
          </cell>
          <cell r="C1230" t="str">
            <v>ENFERMERO/A 3</v>
          </cell>
        </row>
        <row r="1231">
          <cell r="B1231" t="str">
            <v>VARGAS CEDEÑO ALEXI REGINA</v>
          </cell>
          <cell r="C1231" t="str">
            <v>AUXILIAR DE ENFERMERIA</v>
          </cell>
        </row>
        <row r="1232">
          <cell r="B1232" t="str">
            <v>VARGAS INTRIAGO CARMEN ROSA</v>
          </cell>
          <cell r="C1232" t="str">
            <v>ENFERMERO/A 3</v>
          </cell>
        </row>
        <row r="1233">
          <cell r="B1233" t="str">
            <v>VARGAS PACHECO YEFFERSON JOSE</v>
          </cell>
          <cell r="C1233" t="str">
            <v>ENFERMERO/A 3</v>
          </cell>
        </row>
        <row r="1234">
          <cell r="B1234" t="str">
            <v>VASQUEZ JARAMILLO PAULA ANDREA</v>
          </cell>
          <cell r="C1234" t="str">
            <v>MEDICO/A ESPECIALISTA EN ONCOLOGIA 1</v>
          </cell>
        </row>
        <row r="1235">
          <cell r="B1235" t="str">
            <v>VASQUEZ PROAÑO GUSTAVO ADOLFO</v>
          </cell>
          <cell r="C1235" t="str">
            <v>MEDICO/A GENERAL EN FUNCIONES HOSPITALARIAS</v>
          </cell>
        </row>
        <row r="1236">
          <cell r="B1236" t="str">
            <v>VASQUEZ RODRIGUEZ CINTHIA GEMA</v>
          </cell>
          <cell r="C1236" t="str">
            <v>ENFERMERO/A 3</v>
          </cell>
        </row>
        <row r="1237">
          <cell r="B1237" t="str">
            <v>VEGA AROCA KAREN SELENIA</v>
          </cell>
          <cell r="C1237" t="str">
            <v>ENFERMERO/A 3</v>
          </cell>
        </row>
        <row r="1238">
          <cell r="B1238" t="str">
            <v>VEGA DEMERA GEMA MARIANELA</v>
          </cell>
          <cell r="C1238" t="str">
            <v>ENFERMERO/A 3</v>
          </cell>
        </row>
        <row r="1239">
          <cell r="B1239" t="str">
            <v>VEGA MENDOZA DENISSE LILIANA</v>
          </cell>
          <cell r="C1239" t="str">
            <v>MEDICO/A ESPECIALISTA EN CARDIOLOGIA 1</v>
          </cell>
        </row>
        <row r="1240">
          <cell r="B1240" t="str">
            <v>VEGA MOREIRA KARINA MARIBEL</v>
          </cell>
          <cell r="C1240" t="str">
            <v>ASISTENTE DE ADMISIONES</v>
          </cell>
        </row>
        <row r="1241">
          <cell r="B1241" t="str">
            <v>VEINTIMILLA CHAVEZ VERONICA ISABEL</v>
          </cell>
          <cell r="C1241" t="str">
            <v>LABORATORISTA CLINICO 1</v>
          </cell>
        </row>
        <row r="1242">
          <cell r="B1242" t="str">
            <v>VELASQUEZ BAÑO KARLA YADIRA</v>
          </cell>
          <cell r="C1242" t="str">
            <v>TERAPISTA DE LENGUAJE Y AUDITIVA</v>
          </cell>
        </row>
        <row r="1243">
          <cell r="B1243" t="str">
            <v>VELASQUEZ GARCIA LAURA LIZET</v>
          </cell>
          <cell r="C1243" t="str">
            <v>MEDICO/A ESPECIALISTA EN NEUROLOGIA 1</v>
          </cell>
        </row>
        <row r="1244">
          <cell r="B1244" t="str">
            <v>VELASQUEZ MOREIRA PATRICIO RAUL</v>
          </cell>
          <cell r="C1244" t="str">
            <v>ANALISTA DE ELECTRICA-ELECTRONICA</v>
          </cell>
        </row>
        <row r="1245">
          <cell r="B1245" t="str">
            <v>VELASQUEZ VELEZ ROSA LILIANA</v>
          </cell>
          <cell r="C1245" t="str">
            <v>AUXILIAR DE FARMACIA</v>
          </cell>
        </row>
        <row r="1246">
          <cell r="B1246" t="str">
            <v>VELEZ ALVAREZ NAHOMI ANAHI</v>
          </cell>
          <cell r="C1246" t="str">
            <v>AUXILIAR DE ENFERMERIA</v>
          </cell>
        </row>
        <row r="1247">
          <cell r="B1247" t="str">
            <v>VELEZ BASURTO IVANA LISBETH</v>
          </cell>
          <cell r="C1247" t="str">
            <v>ENFERMERO/A 3</v>
          </cell>
        </row>
        <row r="1248">
          <cell r="B1248" t="str">
            <v>VELEZ BRAVO SHEYRA YOKASTA</v>
          </cell>
          <cell r="C1248" t="str">
            <v>ENFERMERO/A 3</v>
          </cell>
          <cell r="D1248" t="str">
            <v>RESP. SERV. MEDICINA INTERNA</v>
          </cell>
        </row>
        <row r="1249">
          <cell r="B1249" t="str">
            <v>VELEZ CEVALLOS CARLOS ANDRES</v>
          </cell>
          <cell r="C1249" t="str">
            <v>MEDICO/A GENERAL EN FUNCIONES HOSPITALARIAS</v>
          </cell>
        </row>
        <row r="1250">
          <cell r="B1250" t="str">
            <v>VELEZ CEVALLOS JEAN CARLOS</v>
          </cell>
          <cell r="C1250" t="str">
            <v>ANALISTA HIDROSANITARIO</v>
          </cell>
        </row>
        <row r="1251">
          <cell r="B1251" t="str">
            <v>VELEZ FRANCO MADAN MARICELA</v>
          </cell>
          <cell r="C1251" t="str">
            <v>ENFERMERO/A 6</v>
          </cell>
        </row>
        <row r="1252">
          <cell r="B1252" t="str">
            <v>VELEZ GARCIA JONATHAN GERMAN</v>
          </cell>
          <cell r="C1252" t="str">
            <v>ENFERMERO/A 3</v>
          </cell>
        </row>
        <row r="1253">
          <cell r="B1253" t="str">
            <v>VELEZ GARCIA STEFANIE DELLANIRA</v>
          </cell>
          <cell r="C1253" t="str">
            <v>ENFERMERO/A 3</v>
          </cell>
        </row>
        <row r="1254">
          <cell r="B1254" t="str">
            <v>VELEZ MACIAS MARIA AGUSTINA</v>
          </cell>
          <cell r="C1254" t="str">
            <v>DIRECTOR/A ASISTENCIAL</v>
          </cell>
        </row>
        <row r="1255">
          <cell r="B1255" t="str">
            <v>VELEZ MARCEL LUCY PRISCILA</v>
          </cell>
          <cell r="C1255" t="str">
            <v>MEDICO/A GENERAL EN FUNCIONES HOSPITALARIAS</v>
          </cell>
        </row>
        <row r="1256">
          <cell r="B1256" t="str">
            <v>VELEZ MOLINA GEMA GERALDINE</v>
          </cell>
          <cell r="C1256" t="str">
            <v>ENFERMERO/A 3</v>
          </cell>
        </row>
        <row r="1257">
          <cell r="B1257" t="str">
            <v>VELEZ MORALES HAYDEE LISBETH</v>
          </cell>
          <cell r="C1257" t="str">
            <v>ENFERMERO/A 3</v>
          </cell>
        </row>
        <row r="1258">
          <cell r="B1258" t="str">
            <v>VELEZ PALACIOS DIEGO ARMANDO</v>
          </cell>
          <cell r="C1258" t="str">
            <v>TECNOLOGO MEDICO DE REHABILITACION Y TERAPIA FISICA 2</v>
          </cell>
        </row>
        <row r="1259">
          <cell r="B1259" t="str">
            <v>VELEZ PEÑA ANGELICA MARIA</v>
          </cell>
          <cell r="C1259" t="str">
            <v>ENFERMERO/A 3</v>
          </cell>
        </row>
        <row r="1260">
          <cell r="B1260" t="str">
            <v>VELEZ PISCO YAMILEX ELIZABETH</v>
          </cell>
          <cell r="C1260" t="str">
            <v>AUXILIAR DE ENFERMERIA</v>
          </cell>
        </row>
        <row r="1261">
          <cell r="B1261" t="str">
            <v>VELEZ RIVAS GEMA DAYANARA</v>
          </cell>
          <cell r="C1261" t="str">
            <v>ENFERMERO/A 3</v>
          </cell>
        </row>
        <row r="1262">
          <cell r="B1262" t="str">
            <v>VELEZ RIVERA KAREN REBECA</v>
          </cell>
          <cell r="C1262" t="str">
            <v>ENFERMERO/A 3</v>
          </cell>
        </row>
        <row r="1263">
          <cell r="B1263" t="str">
            <v>VELEZ ROMERO ALFONSO XAVIER</v>
          </cell>
          <cell r="C1263" t="str">
            <v>MEDICO/A ESPECIALISTA EN TRAUMATOLOGIA 1</v>
          </cell>
        </row>
        <row r="1264">
          <cell r="B1264" t="str">
            <v>VELEZ SAENZ NATASHA HAYDEE</v>
          </cell>
          <cell r="C1264" t="str">
            <v>MEDICO/A ESPECIALISTA EN ALERGOLOGIA 1</v>
          </cell>
        </row>
        <row r="1265">
          <cell r="B1265" t="str">
            <v>VELEZ SOLORZANO LIZLEY ANDREINA</v>
          </cell>
          <cell r="C1265" t="str">
            <v>ENFERMERO/A 3</v>
          </cell>
        </row>
        <row r="1266">
          <cell r="B1266" t="str">
            <v>VELEZ VELASQUEZ NICOLE ELIZABETH</v>
          </cell>
          <cell r="C1266" t="str">
            <v>ENFERMERO/A 3</v>
          </cell>
        </row>
        <row r="1267">
          <cell r="B1267" t="str">
            <v>VELIZ CHONG MARIA LINDA</v>
          </cell>
          <cell r="C1267" t="str">
            <v>MEDICO/A ESPECIALISTA EN NEUMOLOGIA 1</v>
          </cell>
        </row>
        <row r="1268">
          <cell r="B1268" t="str">
            <v>VELIZ GARCIA SAHIRA XIMENA</v>
          </cell>
          <cell r="C1268" t="str">
            <v>MEDICO/A GENERAL EN FUNCIONES HOSPITALARIAS</v>
          </cell>
        </row>
        <row r="1269">
          <cell r="B1269" t="str">
            <v>VELIZ MARCILLO LOURDES ISABEL</v>
          </cell>
          <cell r="C1269" t="str">
            <v>MEDICO/A ESPECIALISTA EN ANESTESIOLOGIA 1</v>
          </cell>
        </row>
        <row r="1270">
          <cell r="B1270" t="str">
            <v>VELIZ RODRIGUEZ ANGEL RAFAEL</v>
          </cell>
          <cell r="C1270" t="str">
            <v>MEDICO/A ESPECIALISTA EN IMAGENOLOGIA/RADIOLOGIA 1</v>
          </cell>
        </row>
        <row r="1271">
          <cell r="B1271" t="str">
            <v>VERA ALAVA CRISTHIAN XAVIER</v>
          </cell>
          <cell r="C1271" t="str">
            <v>MEDICO/A ESPECIALISTA EN PSIQUIATRIA 1</v>
          </cell>
        </row>
        <row r="1272">
          <cell r="B1272" t="str">
            <v>VERA ALCIVAR JOSE RICARDO</v>
          </cell>
          <cell r="C1272" t="str">
            <v>AUXILIAR DE LABORATORIO</v>
          </cell>
        </row>
        <row r="1273">
          <cell r="B1273" t="str">
            <v>VERA ALVARADO OSCAR GREGORIO</v>
          </cell>
          <cell r="C1273" t="str">
            <v>ENFERMERO/A 3</v>
          </cell>
        </row>
        <row r="1274">
          <cell r="B1274" t="str">
            <v>VERA BERMUDEZ IVANA MONCERRATE</v>
          </cell>
          <cell r="C1274" t="str">
            <v>ENFERMERO/A 3</v>
          </cell>
        </row>
        <row r="1275">
          <cell r="B1275" t="str">
            <v>VERA CARPIO SAMANTHA ALEXANDRA</v>
          </cell>
          <cell r="C1275" t="str">
            <v>ENFERMERO/A 3</v>
          </cell>
        </row>
        <row r="1276">
          <cell r="B1276" t="str">
            <v>VERA CARRANZA MARTHA YAQUELINE</v>
          </cell>
          <cell r="C1276" t="str">
            <v>AUXILIAR DE ENFERMERIA</v>
          </cell>
        </row>
        <row r="1277">
          <cell r="B1277" t="str">
            <v>VERA CEDEÑO CARLOS GABRIEL</v>
          </cell>
          <cell r="C1277" t="str">
            <v>MEDICO/A GENERAL EN FUNCIONES HOSPITALARIAS</v>
          </cell>
        </row>
        <row r="1278">
          <cell r="B1278" t="str">
            <v>VERA CEDEÑO MARY CRUZ</v>
          </cell>
          <cell r="C1278" t="str">
            <v>TECNICO DE ARCHIVO</v>
          </cell>
        </row>
        <row r="1279">
          <cell r="B1279" t="str">
            <v>VERA DEMERA VIELKA ASTRID</v>
          </cell>
          <cell r="C1279" t="str">
            <v>ENFERMERO/A 3</v>
          </cell>
        </row>
        <row r="1280">
          <cell r="B1280" t="str">
            <v>VERA ESTUPIÑAN CINDY MERCEDES</v>
          </cell>
          <cell r="C1280" t="str">
            <v>ENFERMERO/A 3</v>
          </cell>
        </row>
        <row r="1281">
          <cell r="B1281" t="str">
            <v>VERA FALCONES HERMOGENES FERNANDO</v>
          </cell>
          <cell r="C1281" t="str">
            <v>ENFERMERO/A 3</v>
          </cell>
        </row>
        <row r="1282">
          <cell r="B1282" t="str">
            <v>VERA GALARZA JORGE JESUS</v>
          </cell>
          <cell r="C1282" t="str">
            <v>ENFERMERO/A 3</v>
          </cell>
        </row>
        <row r="1283">
          <cell r="B1283" t="str">
            <v>VERA GANCHOZO LIGIA ISABEL</v>
          </cell>
          <cell r="C1283" t="str">
            <v>ENFERMERO/A 3</v>
          </cell>
        </row>
        <row r="1284">
          <cell r="B1284" t="str">
            <v>VERA INTRIAGO GABRIELA NATHALY</v>
          </cell>
          <cell r="C1284" t="str">
            <v>AUXILIAR DE ENFERMERIA</v>
          </cell>
        </row>
        <row r="1285">
          <cell r="B1285" t="str">
            <v>VERA MACIAS JORGE JAVIER</v>
          </cell>
          <cell r="C1285" t="str">
            <v>MEDICO/A ESPECIALISTA EN CIRUGIA GENERAL 1</v>
          </cell>
        </row>
        <row r="1286">
          <cell r="B1286" t="str">
            <v>VERA MACIAS JORGE OCTAVIO</v>
          </cell>
          <cell r="C1286" t="str">
            <v>MEDICO/A GENERAL EN FUNCIONES HOSPITALARIAS</v>
          </cell>
        </row>
        <row r="1287">
          <cell r="B1287" t="str">
            <v>VERA MENENDEZ DENNISSE LILIBETH</v>
          </cell>
          <cell r="C1287" t="str">
            <v>ENFERMERO/A 3</v>
          </cell>
        </row>
        <row r="1288">
          <cell r="B1288" t="str">
            <v>VERA MOREIRA ANDRES</v>
          </cell>
          <cell r="C1288" t="str">
            <v>MEDICO/A ESPECIALISTA EN CARDIOLOGIA 1</v>
          </cell>
        </row>
        <row r="1289">
          <cell r="B1289" t="str">
            <v>VERA MOREIRA YANDRY PAUL</v>
          </cell>
          <cell r="C1289" t="str">
            <v>ENFERMERO/A 3</v>
          </cell>
        </row>
        <row r="1290">
          <cell r="B1290" t="str">
            <v>VERA NARANJO JENNIFER LISSETTE</v>
          </cell>
          <cell r="C1290" t="str">
            <v>ENFERMERO/A 3</v>
          </cell>
        </row>
        <row r="1291">
          <cell r="B1291" t="str">
            <v>VERA PARRALES VERONICA CARLINA</v>
          </cell>
          <cell r="C1291" t="str">
            <v>ENFERMERO/A 3</v>
          </cell>
        </row>
        <row r="1292">
          <cell r="B1292" t="str">
            <v>VERA POZO ALEJANDRA ABIGAIL</v>
          </cell>
          <cell r="C1292" t="str">
            <v>ENFERMERO/A 3</v>
          </cell>
        </row>
        <row r="1293">
          <cell r="B1293" t="str">
            <v>VERA ROLDAN MARIA LISSETH</v>
          </cell>
          <cell r="C1293" t="str">
            <v>LABORATORISTA CLINICO 1</v>
          </cell>
        </row>
        <row r="1294">
          <cell r="B1294" t="str">
            <v>VERA ROSADO LADY DIANA</v>
          </cell>
          <cell r="C1294" t="str">
            <v>ANALISTA DE ELECTRICA-ELECTRONICA</v>
          </cell>
        </row>
        <row r="1295">
          <cell r="B1295" t="str">
            <v>VERA VINCES SUSANA ELIZABETH</v>
          </cell>
          <cell r="C1295" t="str">
            <v>AUXILIAR DE ENFERMERIA</v>
          </cell>
        </row>
        <row r="1296">
          <cell r="B1296" t="str">
            <v>VERA ZAMBRANO JOSE MANUEL</v>
          </cell>
          <cell r="C1296" t="str">
            <v>TECNOLOGO MEDICO DE IMAGENOLOGIA 3</v>
          </cell>
        </row>
        <row r="1297">
          <cell r="B1297" t="str">
            <v>VERDUGA PINO MARIA ALEXANDRA</v>
          </cell>
          <cell r="C1297" t="str">
            <v>ANALISTA DE SERVICIOS GENERALES 1</v>
          </cell>
        </row>
        <row r="1298">
          <cell r="B1298" t="str">
            <v>VIEJO BAUTISTA CESAR ANDRES</v>
          </cell>
          <cell r="C1298" t="str">
            <v>TECNOLOGO MEDICO DE IMAGENOLOGIA 2</v>
          </cell>
        </row>
        <row r="1299">
          <cell r="B1299" t="str">
            <v>VILLACIS GILCES CARLOS ALBERTO</v>
          </cell>
          <cell r="C1299" t="str">
            <v>MEDICO/A ESPECIALISTA EN UROLOGIA 1</v>
          </cell>
        </row>
        <row r="1300">
          <cell r="B1300" t="str">
            <v>VILLACRESES GUERRERO MANUEL JAVIER</v>
          </cell>
          <cell r="C1300" t="str">
            <v>ENFERMERO/A 3</v>
          </cell>
        </row>
        <row r="1301">
          <cell r="B1301" t="str">
            <v>VILLACRESES RODRIGUEZ CARLOS WLADIMIR</v>
          </cell>
          <cell r="C1301" t="str">
            <v>ENFERMERO/A 3</v>
          </cell>
        </row>
        <row r="1302">
          <cell r="B1302" t="str">
            <v>VILLACRESES ZAMORA MARIANA GISELLA</v>
          </cell>
          <cell r="C1302" t="str">
            <v>ENFERMERO/A 3</v>
          </cell>
        </row>
        <row r="1303">
          <cell r="B1303" t="str">
            <v>VILLAFUERTE MACIAS YELITZA GABRIELA</v>
          </cell>
          <cell r="C1303" t="str">
            <v>ENFERMERO/A 3</v>
          </cell>
        </row>
        <row r="1304">
          <cell r="B1304" t="str">
            <v>VILLAFUERTE ZORRILLA MERCEDES CAROLINA</v>
          </cell>
          <cell r="C1304" t="str">
            <v>ENFERMERO/A 3</v>
          </cell>
        </row>
        <row r="1305">
          <cell r="B1305" t="str">
            <v>VILLAMAR CRUZATTY MARIA JOSE</v>
          </cell>
          <cell r="C1305" t="str">
            <v>AUXILIAR DE ENFERMERIA</v>
          </cell>
        </row>
        <row r="1306">
          <cell r="B1306" t="str">
            <v>VILLAMAR LOOR JESSETH OLIMPIA</v>
          </cell>
          <cell r="C1306" t="str">
            <v>ENFERMERO/A 3</v>
          </cell>
        </row>
        <row r="1307">
          <cell r="B1307" t="str">
            <v>VILLAPRADO LOOR JOSSELYN ALEJANDRA</v>
          </cell>
          <cell r="C1307" t="str">
            <v>TECNOLOGO MEDICO DE IMAGENOLOGIA 3</v>
          </cell>
        </row>
        <row r="1308">
          <cell r="B1308" t="str">
            <v>VILLAVICENCIO AVILA CARMEN MONSERRATE</v>
          </cell>
          <cell r="C1308" t="str">
            <v>ENFERMERO/A 3</v>
          </cell>
        </row>
        <row r="1309">
          <cell r="B1309" t="str">
            <v>VILLAVICENCIO CERON DIEGO ENRIQUE</v>
          </cell>
          <cell r="C1309" t="str">
            <v>MEDICO/A ESPECIALISTA EN TRAUMATOLOGIA 1</v>
          </cell>
        </row>
        <row r="1310">
          <cell r="B1310" t="str">
            <v>VILLAVICENCIO MENDOZA WALTER GEOVANNY</v>
          </cell>
          <cell r="C1310" t="str">
            <v>MEDICO/A GENERAL EN FUNCIONES HOSPITALARIAS</v>
          </cell>
        </row>
        <row r="1311">
          <cell r="B1311" t="str">
            <v>VILLAVICENCIO MONTES HECTOR HUGO</v>
          </cell>
          <cell r="C1311" t="str">
            <v>MEDICO/A GENERAL EN FUNCIONES HOSPITALARIAS</v>
          </cell>
        </row>
        <row r="1312">
          <cell r="B1312" t="str">
            <v>VILLAVICENCIO MONTES LAURA MARIANA</v>
          </cell>
          <cell r="C1312" t="str">
            <v>TECNOLOGO MEDICO DE IMAGENOLOGIA 3</v>
          </cell>
        </row>
        <row r="1313">
          <cell r="B1313" t="str">
            <v>VILLEGAS VILLAVICENCIO JAIRA HAYLIN</v>
          </cell>
          <cell r="C1313" t="str">
            <v>MEDICO/A GENERAL EN FUNCIONES HOSPITALARIAS</v>
          </cell>
        </row>
        <row r="1314">
          <cell r="B1314" t="str">
            <v>VINCES GARCIA MARIA CRISTINA</v>
          </cell>
          <cell r="C1314" t="str">
            <v>MEDICO/A GENERAL EN FUNCIONES HOSPITALARIAS</v>
          </cell>
        </row>
        <row r="1315">
          <cell r="B1315" t="str">
            <v>VINCES MOREIRA EDGAR JAVIER</v>
          </cell>
          <cell r="C1315" t="str">
            <v>AUXILIAR DE ENFERMERIA</v>
          </cell>
        </row>
        <row r="1316">
          <cell r="B1316" t="str">
            <v>VINCES MOREIRA EDGAR WAGNER</v>
          </cell>
          <cell r="C1316" t="str">
            <v>ENFERMERO/A 3</v>
          </cell>
        </row>
        <row r="1317">
          <cell r="B1317" t="str">
            <v>VINCES MOREIRA EDWIN WAGNER</v>
          </cell>
          <cell r="C1317" t="str">
            <v>ENFERMERO/A 3</v>
          </cell>
        </row>
        <row r="1318">
          <cell r="B1318" t="str">
            <v>VINCES PIN IBETT BRICEIDA</v>
          </cell>
          <cell r="C1318" t="str">
            <v>ENFERMERO/A 3</v>
          </cell>
        </row>
        <row r="1319">
          <cell r="B1319" t="str">
            <v>VINCES ROLDAN YELITZA VALERIA</v>
          </cell>
          <cell r="C1319" t="str">
            <v>TECNOLOGO MEDICO DE REHABILITACION Y TERAPIA FISICA 3</v>
          </cell>
        </row>
        <row r="1320">
          <cell r="B1320" t="str">
            <v>VINCES UBILLUS MARIELA AUXILIADORA</v>
          </cell>
          <cell r="C1320" t="str">
            <v>ENFERMERO/A 3</v>
          </cell>
        </row>
        <row r="1321">
          <cell r="B1321" t="str">
            <v>VINUEZA VERA JOHANNA ALEXANDRA</v>
          </cell>
          <cell r="C1321" t="str">
            <v>TRABAJADOR/A SOCIAL 2</v>
          </cell>
        </row>
        <row r="1322">
          <cell r="B1322" t="str">
            <v>VITERI SALAZAR GENESIS MICHELLE</v>
          </cell>
          <cell r="C1322" t="str">
            <v>MEDICO/A GENERAL EN FUNCIONES HOSPITALARIAS</v>
          </cell>
        </row>
        <row r="1323">
          <cell r="B1323" t="str">
            <v>VIVAS INTRIAGO ANGEL ADOLFO</v>
          </cell>
          <cell r="C1323" t="str">
            <v>NUTRICIONISTA 2</v>
          </cell>
        </row>
        <row r="1324">
          <cell r="B1324" t="str">
            <v>VIZUETA VARGAS JENNIFER PAOLA</v>
          </cell>
          <cell r="C1324" t="str">
            <v>ENFERMERO/A 3</v>
          </cell>
        </row>
        <row r="1325">
          <cell r="B1325" t="str">
            <v>WITTONG MONTESDEOCA LUISA RAQUEL</v>
          </cell>
          <cell r="C1325" t="str">
            <v>MEDICO/A SUBESPECIALISTA EN INFECTOLOGIA</v>
          </cell>
          <cell r="D1325" t="str">
            <v xml:space="preserve">RESP. SERV. INFECTOLOGIA </v>
          </cell>
        </row>
        <row r="1326">
          <cell r="B1326" t="str">
            <v>ZAMBRANO ALARCON PAULINA NARCISA</v>
          </cell>
          <cell r="C1326" t="str">
            <v>ENFERMERO/A 6</v>
          </cell>
        </row>
        <row r="1327">
          <cell r="B1327" t="str">
            <v>ZAMBRANO ALBAN ANNIA TABET</v>
          </cell>
          <cell r="C1327" t="str">
            <v>MEDICO/A GENERAL EN FUNCIONES HOSPITALARIAS</v>
          </cell>
        </row>
        <row r="1328">
          <cell r="B1328" t="str">
            <v>ZAMBRANO ANCHUNDIA JANETH FABIOLA</v>
          </cell>
          <cell r="C1328" t="str">
            <v>ENFERMERO/A 3</v>
          </cell>
        </row>
        <row r="1329">
          <cell r="B1329" t="str">
            <v>ZAMBRANO ANCHUNDIA YOLANDA BEATRIZ</v>
          </cell>
          <cell r="C1329" t="str">
            <v>ENFERMERO/A 3</v>
          </cell>
        </row>
        <row r="1330">
          <cell r="B1330" t="str">
            <v>ZAMBRANO ARAUZ KARINA ANDREA</v>
          </cell>
          <cell r="C1330" t="str">
            <v>ENFERMERO/A 3</v>
          </cell>
        </row>
        <row r="1331">
          <cell r="B1331" t="str">
            <v>ZAMBRANO AREVALO MARTHA ELIZABETH</v>
          </cell>
          <cell r="C1331" t="str">
            <v>MEDICO/A ESPECIALISTA EN ANESTESIOLOGIA 1</v>
          </cell>
        </row>
        <row r="1332">
          <cell r="B1332" t="str">
            <v>ZAMBRANO ARIAS FABIAN ANDRES</v>
          </cell>
          <cell r="C1332" t="str">
            <v>TECNOLOGO MEDICO DE IMAGENOLOGIA 2</v>
          </cell>
        </row>
        <row r="1333">
          <cell r="B1333" t="str">
            <v>ZAMBRANO ARTEAGA MARIA JOSE</v>
          </cell>
          <cell r="C1333" t="str">
            <v>MEDICO/A GENERAL EN FUNCIONES HOSPITALARIAS</v>
          </cell>
        </row>
        <row r="1334">
          <cell r="B1334" t="str">
            <v>ZAMBRANO BARBERAN VERONICA MARIA</v>
          </cell>
          <cell r="C1334" t="str">
            <v>NUTRICIONISTA 3</v>
          </cell>
        </row>
        <row r="1335">
          <cell r="B1335" t="str">
            <v>ZAMBRANO BENAVIDES JOSE LEONARDO</v>
          </cell>
          <cell r="C1335" t="str">
            <v>NUTRICIONISTA 1</v>
          </cell>
        </row>
        <row r="1336">
          <cell r="B1336" t="str">
            <v>ZAMBRANO BENITEZ DARIO ALEXANDER</v>
          </cell>
          <cell r="C1336" t="str">
            <v>ANALISTA DE TECNOLOGIAS DE LA INFORMACION Y COMUNICACIONES 1</v>
          </cell>
        </row>
        <row r="1337">
          <cell r="B1337" t="str">
            <v>ZAMBRANO CASTILLO MIGUEL HUMBERTO</v>
          </cell>
          <cell r="C1337" t="str">
            <v>TECNICO DE MANTENIMIENTO</v>
          </cell>
        </row>
        <row r="1338">
          <cell r="B1338" t="str">
            <v>ZAMBRANO CEDEÑO JOHANA LISBETH</v>
          </cell>
          <cell r="C1338" t="str">
            <v>LABORATORISTA CLINICO 1</v>
          </cell>
        </row>
        <row r="1339">
          <cell r="B1339" t="str">
            <v>ZAMBRANO CEDEÑO KARLA GEMA</v>
          </cell>
          <cell r="C1339" t="str">
            <v>ENFERMERO/A 3</v>
          </cell>
        </row>
        <row r="1340">
          <cell r="B1340" t="str">
            <v>ZAMBRANO CEDEÑO RUBEN ENRIQUE</v>
          </cell>
          <cell r="C1340" t="str">
            <v>MEDICO/A ESPECIALISTA EN ANESTESIOLOGIA 1</v>
          </cell>
        </row>
        <row r="1341">
          <cell r="B1341" t="str">
            <v>ZAMBRANO CHAVARRIA LIGIA ELENA</v>
          </cell>
          <cell r="C1341" t="str">
            <v>TECNOLOGO MEDICO DE REHABILITACION Y TERAPIA FISICA 2</v>
          </cell>
        </row>
        <row r="1342">
          <cell r="B1342" t="str">
            <v>ZAMBRANO CORDOVA GUIDO LEONARDO</v>
          </cell>
          <cell r="C1342" t="str">
            <v>ASISTENTE ADMINISTRATIVO /A 2</v>
          </cell>
        </row>
        <row r="1343">
          <cell r="B1343" t="str">
            <v>ZAMBRANO DELGADO NELSON ADRIAN</v>
          </cell>
          <cell r="C1343" t="str">
            <v>MEDICO/A ESPECIALISTA EN DERMATOLOGIA 1</v>
          </cell>
        </row>
        <row r="1344">
          <cell r="B1344" t="str">
            <v>ZAMBRANO ESPINOZA FREDDY OSWALDO</v>
          </cell>
          <cell r="C1344" t="str">
            <v>ASISTENTE ADMINISTRATIVO /A 2</v>
          </cell>
          <cell r="D1344" t="str">
            <v xml:space="preserve">RESP. BODEGA INSUMOS MEDICOS </v>
          </cell>
        </row>
        <row r="1345">
          <cell r="B1345" t="str">
            <v>ZAMBRANO GARCES KATHYA ANDREA</v>
          </cell>
          <cell r="C1345" t="str">
            <v>MEDICO/A GENERAL EN FUNCIONES HOSPITALARIAS</v>
          </cell>
        </row>
        <row r="1346">
          <cell r="B1346" t="str">
            <v>ZAMBRANO GARCIA ADRIAN ANDRES</v>
          </cell>
          <cell r="C1346" t="str">
            <v>ASISTENTE DE ADMISIONES</v>
          </cell>
        </row>
        <row r="1347">
          <cell r="B1347" t="str">
            <v>ZAMBRANO GARCIA MERCEDES YULIANA</v>
          </cell>
          <cell r="C1347" t="str">
            <v>AUXILIAR DE ENFERMERIA</v>
          </cell>
        </row>
        <row r="1348">
          <cell r="B1348" t="str">
            <v>ZAMBRANO GARCIA SILVANA MARGARITA</v>
          </cell>
          <cell r="C1348" t="str">
            <v>ENFERMERO/A 3</v>
          </cell>
        </row>
        <row r="1349">
          <cell r="B1349" t="str">
            <v>ZAMBRANO KUFFO EVELYN MARIA</v>
          </cell>
          <cell r="C1349" t="str">
            <v>MEDICO/A GENERAL EN FUNCIONES HOSPITALARIAS</v>
          </cell>
        </row>
        <row r="1350">
          <cell r="B1350" t="str">
            <v>ZAMBRANO LAAS ANGELA MAGDALENA</v>
          </cell>
          <cell r="C1350" t="str">
            <v>ENFERMERO/A 3</v>
          </cell>
        </row>
        <row r="1351">
          <cell r="B1351" t="str">
            <v>ZAMBRANO MACIAS WALTER ALEJANDRO</v>
          </cell>
          <cell r="C1351" t="str">
            <v>ENFERMERO/A 3</v>
          </cell>
        </row>
        <row r="1352">
          <cell r="B1352" t="str">
            <v>ZAMBRANO MALAVE GENESIS NASHALID</v>
          </cell>
          <cell r="C1352" t="str">
            <v>ENFERMERO/A 3</v>
          </cell>
        </row>
        <row r="1353">
          <cell r="B1353" t="str">
            <v>ZAMBRANO MENDOZA EXER EDUARDO</v>
          </cell>
          <cell r="C1353" t="str">
            <v>MEDICO/A ESPECIALISTA EN NEUROCIRUGIA 1</v>
          </cell>
        </row>
        <row r="1354">
          <cell r="B1354" t="str">
            <v>ZAMBRANO MENDOZA HECTOR LUTGARDO</v>
          </cell>
          <cell r="C1354" t="str">
            <v>ENFERMERO/A 3</v>
          </cell>
        </row>
        <row r="1355">
          <cell r="B1355" t="str">
            <v>ZAMBRANO MENENDEZ THALIA ANNABELLE</v>
          </cell>
          <cell r="C1355" t="str">
            <v>TECNOLOGO MEDICO DE REHABILITACION Y TERAPIA FISICA 2</v>
          </cell>
        </row>
        <row r="1356">
          <cell r="B1356" t="str">
            <v>ZAMBRANO MERA JORGE GRISALDO</v>
          </cell>
          <cell r="C1356" t="str">
            <v>LABORATORISTA CLINICO 6</v>
          </cell>
          <cell r="D1356" t="str">
            <v xml:space="preserve">RESP. SERV. LABORATORIO </v>
          </cell>
        </row>
        <row r="1357">
          <cell r="B1357" t="str">
            <v>ZAMBRANO MONTESDEOCA AARON JOSUE</v>
          </cell>
          <cell r="C1357" t="str">
            <v>TECNOLOGO MEDICO DE LABORATORIO 3</v>
          </cell>
          <cell r="D1357" t="str">
            <v xml:space="preserve">RESP. SERV. LABORATORIO </v>
          </cell>
        </row>
        <row r="1358">
          <cell r="B1358" t="str">
            <v>ZAMBRANO MOREIRA DAYANA LICETH</v>
          </cell>
          <cell r="C1358" t="str">
            <v>ENFERMERO/A 3</v>
          </cell>
        </row>
        <row r="1359">
          <cell r="B1359" t="str">
            <v>ZAMBRANO MOREIRA HITLER LENIN</v>
          </cell>
          <cell r="C1359" t="str">
            <v>MEDICO/A GENERAL EN FUNCIONES HOSPITALARIAS</v>
          </cell>
        </row>
        <row r="1360">
          <cell r="B1360" t="str">
            <v>ZAMBRANO PARRAGA ALIXO ABDON</v>
          </cell>
          <cell r="C1360" t="str">
            <v>LABORATORISTA CLINICO 1</v>
          </cell>
        </row>
        <row r="1361">
          <cell r="B1361" t="str">
            <v>ZAMBRANO PICO DIANA ISABEL</v>
          </cell>
          <cell r="C1361" t="str">
            <v>MEDICO/A ESPECIALISTA EN EMERGENCIAS Y DESASTRES 1</v>
          </cell>
        </row>
        <row r="1362">
          <cell r="B1362" t="str">
            <v>ZAMBRANO PINCAY JOSE MARIO</v>
          </cell>
          <cell r="C1362" t="str">
            <v>TECNOLOGO MEDICO DE REHABILITACION Y TERAPIA FISICA 2</v>
          </cell>
        </row>
        <row r="1363">
          <cell r="B1363" t="str">
            <v>ZAMBRANO PONCE MARIA LEONOR</v>
          </cell>
          <cell r="C1363" t="str">
            <v>AUXILIAR DE ENFERMERIA</v>
          </cell>
        </row>
        <row r="1364">
          <cell r="B1364" t="str">
            <v>ZAMBRANO QUIJANO DAVID FERNANDO</v>
          </cell>
          <cell r="C1364" t="str">
            <v>MEDICO/A GENERAL EN FUNCIONES HOSPITALARIAS</v>
          </cell>
        </row>
        <row r="1365">
          <cell r="B1365" t="str">
            <v>ZAMBRANO RIOS JENNY GEOVANNY</v>
          </cell>
          <cell r="C1365" t="str">
            <v>TECNICO DE MANTENIMIENTO</v>
          </cell>
        </row>
        <row r="1366">
          <cell r="B1366" t="str">
            <v>ZAMBRANO RIVAS GIANELLA MARIA</v>
          </cell>
          <cell r="C1366" t="str">
            <v>ENFERMERO/A 3</v>
          </cell>
        </row>
        <row r="1367">
          <cell r="B1367" t="str">
            <v>ZAMBRANO RODRIGUEZ KEYLA LICETH</v>
          </cell>
          <cell r="C1367" t="str">
            <v>ENFERMERO/A 3</v>
          </cell>
        </row>
        <row r="1368">
          <cell r="B1368" t="str">
            <v>ZAMBRANO SOLORZANO MARIA VICTORIA</v>
          </cell>
          <cell r="C1368" t="str">
            <v>AUXILIAR DE ENFERMERIA</v>
          </cell>
        </row>
        <row r="1369">
          <cell r="B1369" t="str">
            <v>ZAMBRANO TUAREZ LEONOR MERCEDES</v>
          </cell>
          <cell r="C1369" t="str">
            <v>MEDICO TRATANTE</v>
          </cell>
        </row>
        <row r="1370">
          <cell r="B1370" t="str">
            <v>ZAMBRANO TUAREZ LUIS ALFREDO</v>
          </cell>
          <cell r="C1370" t="str">
            <v>AUXILIAR ADMINISTRATIVO DE SALUD DEL SECTOR SALUD</v>
          </cell>
        </row>
        <row r="1371">
          <cell r="B1371" t="str">
            <v>ZAMBRANO VELASQUEZ MARIA GABRIELA</v>
          </cell>
          <cell r="C1371" t="str">
            <v>AUXILIAR DE ENFERMERIA</v>
          </cell>
        </row>
        <row r="1372">
          <cell r="B1372" t="str">
            <v>ZAMBRANO VELEZ CARLA KATTY</v>
          </cell>
          <cell r="C1372" t="str">
            <v>AUXILIAR DE ENFERMERIA</v>
          </cell>
        </row>
        <row r="1373">
          <cell r="B1373" t="str">
            <v>ZAMBRANO VELEZ SUSANA CONSUELO</v>
          </cell>
          <cell r="C1373" t="str">
            <v>ENFERMERO/A 3</v>
          </cell>
          <cell r="D1373" t="str">
            <v xml:space="preserve">RESP. SERV. UCI P </v>
          </cell>
        </row>
        <row r="1374">
          <cell r="B1374" t="str">
            <v>ZAMBRANO ZAMBRANO CARLOS JULIO</v>
          </cell>
          <cell r="C1374" t="str">
            <v>ENFERMERO/A 3</v>
          </cell>
        </row>
        <row r="1375">
          <cell r="B1375" t="str">
            <v>ZAMBRANO ZAMBRANO DAVID GABRIEL</v>
          </cell>
          <cell r="C1375" t="str">
            <v>ENFERMERO/A 3</v>
          </cell>
        </row>
        <row r="1376">
          <cell r="B1376" t="str">
            <v>ZAMBRANO ZAMBRANO ERIKA LISBETH</v>
          </cell>
          <cell r="C1376" t="str">
            <v>ENFERMERO/A 3</v>
          </cell>
        </row>
        <row r="1377">
          <cell r="B1377" t="str">
            <v>ZAMBRANO ZAMBRANO GEOVANNY JAVIER</v>
          </cell>
          <cell r="C1377" t="str">
            <v>MEDICO/A GENERAL EN FUNCIONES HOSPITALARIAS</v>
          </cell>
        </row>
        <row r="1378">
          <cell r="B1378" t="str">
            <v>ZAMBRANO ZAMBRANO KATHERINE VIVIANA</v>
          </cell>
          <cell r="C1378" t="str">
            <v>TECNOLOGO MEDICO DE IMAGENOLOGIA 3</v>
          </cell>
        </row>
        <row r="1379">
          <cell r="B1379" t="str">
            <v>ZAMBRANO ZAMBRANO LUIS ANTONIO</v>
          </cell>
          <cell r="C1379" t="str">
            <v>ENFERMERO/A 3</v>
          </cell>
        </row>
        <row r="1380">
          <cell r="B1380" t="str">
            <v>ZAMBRANO ZAMBRANO MARGARITA JOHANA</v>
          </cell>
          <cell r="C1380" t="str">
            <v>ENFERMERO/A 3</v>
          </cell>
        </row>
        <row r="1381">
          <cell r="B1381" t="str">
            <v>ZAMBRANO ZAMBRANO MARIA CECILIA</v>
          </cell>
          <cell r="C1381" t="str">
            <v>ENFERMERO/A 3</v>
          </cell>
        </row>
        <row r="1382">
          <cell r="B1382" t="str">
            <v>ZAMBRANO ZAMBRANO MARIA JOSE</v>
          </cell>
          <cell r="C1382" t="str">
            <v>AUXILIAR DE ENFERMERIA</v>
          </cell>
        </row>
        <row r="1383">
          <cell r="B1383" t="str">
            <v>ZAMBRANO ZAMBRANO MAYRA GABRIELA</v>
          </cell>
          <cell r="C1383" t="str">
            <v>ANALISTA DE SERVICIOS GENERALES 2</v>
          </cell>
        </row>
        <row r="1384">
          <cell r="B1384" t="str">
            <v>ZAMBRANO ZAMORA MARIA CAROLINA</v>
          </cell>
          <cell r="C1384" t="str">
            <v>ENFERMERO/A 3</v>
          </cell>
        </row>
        <row r="1385">
          <cell r="B1385" t="str">
            <v>ZAMORA BAZURTO MARIA DANIELA</v>
          </cell>
          <cell r="C1385" t="str">
            <v>NUTRICIONISTA 2</v>
          </cell>
        </row>
        <row r="1386">
          <cell r="B1386" t="str">
            <v>ZAMORA PAZMIÑO LEISBERTH IVAN</v>
          </cell>
          <cell r="C1386" t="str">
            <v>ENFERMERO/A 3</v>
          </cell>
        </row>
        <row r="1387">
          <cell r="B1387" t="str">
            <v>ZAMORA ZAMORA JOSSELYN ESTEFANIA</v>
          </cell>
          <cell r="C1387" t="str">
            <v>ENFERMERO/A 3</v>
          </cell>
        </row>
        <row r="1388">
          <cell r="B1388" t="str">
            <v>ZAPORTA MENDOZA JOSE OLMEDO</v>
          </cell>
          <cell r="C1388" t="str">
            <v>MEDICO/A ESPECIALISTA EN ENDOCRINOLOGIA 1</v>
          </cell>
        </row>
        <row r="1389">
          <cell r="B1389" t="str">
            <v>ZAVALA MOREIRA LEYDY ALEXANDRA</v>
          </cell>
          <cell r="C1389" t="str">
            <v>TRABAJADOR/A SOCIAL 1</v>
          </cell>
        </row>
        <row r="1390">
          <cell r="B1390" t="str">
            <v>ZHINGRE MUENTES RAYZA ANTONELLA</v>
          </cell>
          <cell r="C1390" t="str">
            <v>MEDICO/A GENERAL EN FUNCIONES HOSPITALARIAS</v>
          </cell>
        </row>
        <row r="1391">
          <cell r="B1391" t="str">
            <v>ZUÑIGA AVELLAN WALTER PAUL</v>
          </cell>
          <cell r="C1391" t="str">
            <v>ANALISTA DE REDES, COMUNICACIONES E INFRAESTRUCTURA</v>
          </cell>
        </row>
        <row r="1392">
          <cell r="B1392" t="str">
            <v>VERA CARDENAS PEDRO JOSE</v>
          </cell>
          <cell r="C1392" t="str">
            <v>MEDICO</v>
          </cell>
          <cell r="D1392" t="str">
            <v>RESP. SERV CALIDAD</v>
          </cell>
        </row>
      </sheetData>
      <sheetData sheetId="2">
        <row r="3">
          <cell r="B3" t="str">
            <v>BLOQUE</v>
          </cell>
          <cell r="C3" t="str">
            <v>SERVICIO</v>
          </cell>
          <cell r="G3" t="str">
            <v>APELLIDOS Y NOMBRES</v>
          </cell>
          <cell r="H3" t="str">
            <v xml:space="preserve">DENOMINACION </v>
          </cell>
        </row>
        <row r="4">
          <cell r="B4" t="str">
            <v>A100</v>
          </cell>
          <cell r="C4" t="str">
            <v xml:space="preserve">CONSULTA EXTERNA </v>
          </cell>
          <cell r="G4" t="str">
            <v xml:space="preserve">PILLIGUA PARRALES DIEGO STALIN </v>
          </cell>
          <cell r="H4" t="str">
            <v>AUXILIAR ADMINISTRATIVO</v>
          </cell>
        </row>
        <row r="5">
          <cell r="B5" t="str">
            <v>A200</v>
          </cell>
          <cell r="C5" t="str">
            <v xml:space="preserve">CONSULTA EXTERNA </v>
          </cell>
          <cell r="G5" t="str">
            <v xml:space="preserve">FARFAN CARRION WINTER HOMERO </v>
          </cell>
          <cell r="H5" t="str">
            <v xml:space="preserve">GUARDALMACEN </v>
          </cell>
        </row>
        <row r="6">
          <cell r="B6" t="str">
            <v>A300</v>
          </cell>
          <cell r="C6" t="str">
            <v xml:space="preserve">CONSULTA EXTERNA </v>
          </cell>
          <cell r="G6" t="str">
            <v>NAVARRETE ANDRADE ANA JULEXI</v>
          </cell>
          <cell r="H6" t="str">
            <v>ENFERMERO A/3</v>
          </cell>
        </row>
        <row r="7">
          <cell r="B7" t="str">
            <v>B100-1</v>
          </cell>
          <cell r="C7" t="str">
            <v xml:space="preserve">DIÁLISIS </v>
          </cell>
          <cell r="G7" t="str">
            <v>CEDEÑO INTRIAGO HIPATIA YASMINA</v>
          </cell>
          <cell r="H7" t="str">
            <v>ANALISTA DE ADQUISICION 1</v>
          </cell>
        </row>
        <row r="8">
          <cell r="B8" t="str">
            <v>B100-2</v>
          </cell>
          <cell r="C8" t="str">
            <v xml:space="preserve">REHABILITACIÓN </v>
          </cell>
          <cell r="G8" t="str">
            <v>NAVARRETE VARGAS WAGNER OSWALDO</v>
          </cell>
          <cell r="H8" t="str">
            <v>ANALISTA DE ACTIVOS FIJOS 2</v>
          </cell>
        </row>
        <row r="9">
          <cell r="B9" t="str">
            <v>B100-3</v>
          </cell>
          <cell r="C9" t="str">
            <v>DIALISIS-ADMISION</v>
          </cell>
          <cell r="G9" t="str">
            <v>VALENCIA GARCIA ENMA LILIANA</v>
          </cell>
          <cell r="H9" t="str">
            <v>ENFERMERO A/3</v>
          </cell>
        </row>
        <row r="10">
          <cell r="B10" t="str">
            <v>B200-1</v>
          </cell>
          <cell r="C10" t="str">
            <v xml:space="preserve">HOSPITAL DEL DÍA </v>
          </cell>
          <cell r="G10" t="str">
            <v>LOOR CAICEDO JAVIER JAHIR</v>
          </cell>
          <cell r="H10" t="str">
            <v>ENFERMERO A/3</v>
          </cell>
        </row>
        <row r="11">
          <cell r="B11" t="str">
            <v>B200-2</v>
          </cell>
          <cell r="C11" t="str">
            <v xml:space="preserve">GASTRO-CARDIO </v>
          </cell>
          <cell r="G11" t="str">
            <v xml:space="preserve">FARIAS MENDOZA MARTHA ELENA </v>
          </cell>
          <cell r="H11" t="str">
            <v xml:space="preserve">GUARDALMACEN </v>
          </cell>
        </row>
        <row r="12">
          <cell r="B12" t="str">
            <v>B300-1</v>
          </cell>
          <cell r="C12" t="str">
            <v>UCIP</v>
          </cell>
          <cell r="G12" t="str">
            <v>MEJIA PACHECO ZOYLA</v>
          </cell>
          <cell r="H12" t="str">
            <v>ENFERMERO A/3</v>
          </cell>
        </row>
        <row r="13">
          <cell r="B13" t="str">
            <v>B300-2</v>
          </cell>
          <cell r="C13" t="str">
            <v>NEONATOLOGÍA</v>
          </cell>
        </row>
        <row r="14">
          <cell r="B14" t="str">
            <v>C100-1</v>
          </cell>
          <cell r="C14" t="str">
            <v>BODEGA INSUMOS MEDICOS</v>
          </cell>
        </row>
        <row r="15">
          <cell r="B15" t="str">
            <v>C100-2</v>
          </cell>
          <cell r="C15" t="str">
            <v xml:space="preserve">TOMA DE MUESTRA </v>
          </cell>
        </row>
        <row r="16">
          <cell r="B16" t="str">
            <v>C100-3</v>
          </cell>
          <cell r="C16" t="str">
            <v>MEDICINA TRANSFUSIONAL</v>
          </cell>
        </row>
        <row r="17">
          <cell r="B17" t="str">
            <v>C100-4</v>
          </cell>
          <cell r="C17" t="str">
            <v>TRABAJO SOCIAL</v>
          </cell>
        </row>
        <row r="18">
          <cell r="B18" t="str">
            <v>C200</v>
          </cell>
          <cell r="C18" t="str">
            <v xml:space="preserve">HOSPITALIZACIÓN MEDICINA INTERNA </v>
          </cell>
        </row>
        <row r="19">
          <cell r="B19" t="str">
            <v xml:space="preserve">C300 </v>
          </cell>
          <cell r="C19" t="str">
            <v xml:space="preserve">HOSPITALIZACIÓN QUIRÚRGICA </v>
          </cell>
        </row>
        <row r="20">
          <cell r="B20" t="str">
            <v>C400</v>
          </cell>
          <cell r="C20" t="str">
            <v>PEDIATRÍA</v>
          </cell>
        </row>
        <row r="21">
          <cell r="B21" t="str">
            <v>D100-1</v>
          </cell>
          <cell r="C21" t="str">
            <v>ADMISIÓN</v>
          </cell>
        </row>
        <row r="22">
          <cell r="B22" t="str">
            <v>D100-2</v>
          </cell>
          <cell r="C22" t="str">
            <v xml:space="preserve">BODEGA </v>
          </cell>
        </row>
        <row r="23">
          <cell r="B23" t="str">
            <v>D100-3</v>
          </cell>
          <cell r="C23" t="str">
            <v>LABORATORIO</v>
          </cell>
        </row>
        <row r="24">
          <cell r="B24" t="str">
            <v>D100-4</v>
          </cell>
          <cell r="C24" t="str">
            <v>OFICINA CÓDIGO DE TRABAJO</v>
          </cell>
        </row>
        <row r="25">
          <cell r="B25" t="str">
            <v>D200</v>
          </cell>
          <cell r="C25" t="str">
            <v>INFECTOLOGÍA</v>
          </cell>
        </row>
        <row r="26">
          <cell r="B26" t="str">
            <v>D300</v>
          </cell>
          <cell r="C26" t="str">
            <v xml:space="preserve">UCIA </v>
          </cell>
        </row>
        <row r="27">
          <cell r="B27" t="str">
            <v>E100</v>
          </cell>
          <cell r="C27" t="str">
            <v>IMAGENOLOGÍA</v>
          </cell>
        </row>
        <row r="28">
          <cell r="B28" t="str">
            <v>E200</v>
          </cell>
          <cell r="C28" t="str">
            <v xml:space="preserve">BODEGA </v>
          </cell>
        </row>
        <row r="29">
          <cell r="B29" t="str">
            <v>E300</v>
          </cell>
          <cell r="C29" t="str">
            <v xml:space="preserve">BODEGA </v>
          </cell>
        </row>
        <row r="30">
          <cell r="B30" t="str">
            <v>F100</v>
          </cell>
          <cell r="C30" t="str">
            <v>EMERGENCIA</v>
          </cell>
        </row>
        <row r="31">
          <cell r="B31" t="str">
            <v>F200-1</v>
          </cell>
          <cell r="C31" t="str">
            <v xml:space="preserve">ESTERILIZACIÓN </v>
          </cell>
        </row>
        <row r="32">
          <cell r="B32" t="str">
            <v>F200-2</v>
          </cell>
          <cell r="C32" t="str">
            <v xml:space="preserve">SALUD OCUPACIONAL </v>
          </cell>
        </row>
        <row r="33">
          <cell r="B33" t="str">
            <v>F200-3</v>
          </cell>
          <cell r="C33" t="str">
            <v xml:space="preserve">RESIDENCIA </v>
          </cell>
        </row>
        <row r="34">
          <cell r="B34" t="str">
            <v>F200-4</v>
          </cell>
          <cell r="C34" t="str">
            <v>ADMINISTRATIVO</v>
          </cell>
        </row>
        <row r="35">
          <cell r="B35" t="str">
            <v>F300</v>
          </cell>
          <cell r="C35" t="str">
            <v>QUIRÓFANO</v>
          </cell>
        </row>
        <row r="36">
          <cell r="B36" t="str">
            <v>F300-1</v>
          </cell>
          <cell r="C36" t="str">
            <v>QUIROFANO - FARMACIA</v>
          </cell>
        </row>
        <row r="37">
          <cell r="B37" t="str">
            <v>G100-2</v>
          </cell>
          <cell r="C37" t="str">
            <v>COMEDOR</v>
          </cell>
        </row>
        <row r="38">
          <cell r="B38" t="str">
            <v>G200</v>
          </cell>
          <cell r="C38" t="str">
            <v xml:space="preserve">HOSPITALIZACIÓN MEDICINA INTERNA </v>
          </cell>
        </row>
        <row r="39">
          <cell r="B39" t="str">
            <v>G300</v>
          </cell>
          <cell r="C39" t="str">
            <v xml:space="preserve">HOSPITALIZACIÓN QUIRÚRGICA </v>
          </cell>
        </row>
        <row r="40">
          <cell r="B40" t="str">
            <v xml:space="preserve">G400 </v>
          </cell>
          <cell r="C40" t="str">
            <v xml:space="preserve">BODEGA </v>
          </cell>
        </row>
        <row r="41">
          <cell r="B41" t="str">
            <v>H100-1</v>
          </cell>
          <cell r="C41" t="str">
            <v xml:space="preserve">ACTIVOS FIJOS </v>
          </cell>
        </row>
        <row r="42">
          <cell r="B42" t="str">
            <v>H100-2</v>
          </cell>
          <cell r="C42" t="str">
            <v>LAVANDERÍA</v>
          </cell>
        </row>
        <row r="43">
          <cell r="B43" t="str">
            <v>H100-3</v>
          </cell>
          <cell r="C43" t="str">
            <v>RECAUDACIÓN</v>
          </cell>
        </row>
        <row r="44">
          <cell r="B44" t="str">
            <v>H100-4</v>
          </cell>
          <cell r="C44" t="str">
            <v>OFICINA CÓDIGO DE TRABAJO</v>
          </cell>
        </row>
        <row r="45">
          <cell r="B45" t="str">
            <v>H100-5</v>
          </cell>
          <cell r="C45" t="str">
            <v>TUBERCULOSIS</v>
          </cell>
        </row>
        <row r="46">
          <cell r="B46" t="str">
            <v>H100-6</v>
          </cell>
          <cell r="C46" t="str">
            <v>PATOLOGÍA Y MORGUE</v>
          </cell>
        </row>
        <row r="47">
          <cell r="B47" t="str">
            <v>H100-7</v>
          </cell>
          <cell r="C47" t="str">
            <v>EXTERNALIZADO</v>
          </cell>
        </row>
        <row r="48">
          <cell r="B48" t="str">
            <v>H100-8</v>
          </cell>
          <cell r="C48" t="str">
            <v>ARCHIVO FARMACIA</v>
          </cell>
        </row>
        <row r="49">
          <cell r="B49" t="str">
            <v>H200-1</v>
          </cell>
          <cell r="C49" t="str">
            <v>DOCENCIA- BIBLIOTECA</v>
          </cell>
        </row>
        <row r="50">
          <cell r="B50" t="str">
            <v>H200-2</v>
          </cell>
          <cell r="C50" t="str">
            <v>ARCHIVO FINANCIERO</v>
          </cell>
        </row>
        <row r="51">
          <cell r="B51" t="str">
            <v>H200-3</v>
          </cell>
          <cell r="C51" t="str">
            <v>TICS</v>
          </cell>
        </row>
        <row r="52">
          <cell r="B52" t="str">
            <v>H200-4</v>
          </cell>
          <cell r="C52" t="str">
            <v>AUDITORIO</v>
          </cell>
        </row>
        <row r="53">
          <cell r="B53" t="str">
            <v>H300-1</v>
          </cell>
          <cell r="C53" t="str">
            <v xml:space="preserve">QUEMADOS </v>
          </cell>
        </row>
        <row r="54">
          <cell r="B54" t="str">
            <v>H300-2</v>
          </cell>
          <cell r="C54" t="str">
            <v>HEMODINAMIA</v>
          </cell>
        </row>
        <row r="55">
          <cell r="B55" t="str">
            <v>I100</v>
          </cell>
          <cell r="C55" t="str">
            <v xml:space="preserve">COMEDOR - COCINA </v>
          </cell>
        </row>
        <row r="56">
          <cell r="B56" t="str">
            <v>J100-1</v>
          </cell>
          <cell r="C56" t="str">
            <v>MANTENIMIENTO</v>
          </cell>
        </row>
        <row r="57">
          <cell r="B57" t="str">
            <v>J100-2</v>
          </cell>
          <cell r="C57" t="str">
            <v xml:space="preserve">BODEGA </v>
          </cell>
        </row>
        <row r="58">
          <cell r="B58" t="str">
            <v>K100</v>
          </cell>
          <cell r="C58" t="str">
            <v>ADMISIÓN - VENTANILLA ÚNICA - SALA DE ESPERA DE PACIENTES</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0"/>
  <sheetViews>
    <sheetView tabSelected="1" view="pageBreakPreview" zoomScale="70" zoomScaleNormal="70" zoomScaleSheetLayoutView="70" workbookViewId="0">
      <selection activeCell="E9" sqref="E9:G9"/>
    </sheetView>
  </sheetViews>
  <sheetFormatPr baseColWidth="10" defaultColWidth="9.109375" defaultRowHeight="15.6" x14ac:dyDescent="0.3"/>
  <cols>
    <col min="1" max="1" width="20.5546875" style="15" customWidth="1"/>
    <col min="2" max="2" width="14.44140625" style="15" customWidth="1"/>
    <col min="3" max="3" width="23.88671875" style="15" customWidth="1"/>
    <col min="4" max="4" width="41.109375" style="15" customWidth="1"/>
    <col min="5" max="5" width="20.33203125" style="15" customWidth="1"/>
    <col min="6" max="6" width="16.44140625" style="15" customWidth="1"/>
    <col min="7" max="7" width="15.5546875" style="15" customWidth="1"/>
    <col min="8" max="8" width="15.109375" style="15" customWidth="1"/>
    <col min="9" max="9" width="22.6640625" style="1" customWidth="1"/>
    <col min="10" max="16384" width="9.109375" style="1"/>
  </cols>
  <sheetData>
    <row r="1" spans="1:9" ht="19.5" customHeight="1" x14ac:dyDescent="0.3">
      <c r="A1" s="56" t="s">
        <v>0</v>
      </c>
      <c r="B1" s="57"/>
      <c r="C1" s="57"/>
      <c r="D1" s="57"/>
      <c r="E1" s="57"/>
      <c r="F1" s="57"/>
      <c r="G1" s="57"/>
      <c r="H1" s="57"/>
      <c r="I1" s="57"/>
    </row>
    <row r="2" spans="1:9" ht="19.5" customHeight="1" x14ac:dyDescent="0.3">
      <c r="A2" s="58" t="s">
        <v>1</v>
      </c>
      <c r="B2" s="59"/>
      <c r="C2" s="59"/>
      <c r="D2" s="59"/>
      <c r="E2" s="59"/>
      <c r="F2" s="59"/>
      <c r="G2" s="59"/>
      <c r="H2" s="59"/>
      <c r="I2" s="59"/>
    </row>
    <row r="3" spans="1:9" ht="15.75" customHeight="1" x14ac:dyDescent="0.3">
      <c r="A3" s="60" t="s">
        <v>2</v>
      </c>
      <c r="B3" s="61"/>
      <c r="C3" s="61"/>
      <c r="D3" s="61"/>
      <c r="E3" s="61"/>
      <c r="F3" s="61"/>
      <c r="G3" s="61"/>
      <c r="H3" s="61"/>
      <c r="I3" s="61"/>
    </row>
    <row r="4" spans="1:9" ht="21.75" customHeight="1" x14ac:dyDescent="0.3">
      <c r="A4" s="62" t="s">
        <v>3</v>
      </c>
      <c r="B4" s="63"/>
      <c r="C4" s="63"/>
      <c r="D4" s="63"/>
      <c r="E4" s="63"/>
      <c r="F4" s="63"/>
      <c r="G4" s="63"/>
      <c r="H4" s="63"/>
      <c r="I4" s="63"/>
    </row>
    <row r="5" spans="1:9" ht="31.5" customHeight="1" x14ac:dyDescent="0.3">
      <c r="A5" s="2" t="s">
        <v>4</v>
      </c>
      <c r="B5" s="47"/>
      <c r="C5" s="48"/>
      <c r="D5" s="3" t="s">
        <v>5</v>
      </c>
      <c r="E5" s="64">
        <f>IFERROR(VLOOKUP($B$5,[1]LISTAS!$B$3:$C$58,2,0),0)</f>
        <v>0</v>
      </c>
      <c r="F5" s="65"/>
      <c r="G5" s="66"/>
      <c r="H5" s="67" t="s">
        <v>6</v>
      </c>
      <c r="I5" s="69"/>
    </row>
    <row r="6" spans="1:9" ht="30" customHeight="1" x14ac:dyDescent="0.3">
      <c r="A6" s="2" t="s">
        <v>7</v>
      </c>
      <c r="B6" s="47"/>
      <c r="C6" s="48"/>
      <c r="D6" s="4" t="s">
        <v>8</v>
      </c>
      <c r="E6" s="64">
        <f>IFERROR(VLOOKUP($B$6,[1]LISTAS!$B$3:$C$58,2,0),0)</f>
        <v>0</v>
      </c>
      <c r="F6" s="65"/>
      <c r="G6" s="66"/>
      <c r="H6" s="68"/>
      <c r="I6" s="70"/>
    </row>
    <row r="7" spans="1:9" ht="30.75" customHeight="1" x14ac:dyDescent="0.3">
      <c r="A7" s="4" t="s">
        <v>9</v>
      </c>
      <c r="B7" s="47"/>
      <c r="C7" s="48"/>
      <c r="D7" s="3" t="s">
        <v>10</v>
      </c>
      <c r="E7" s="49">
        <f>IFERROR(VLOOKUP($B$7,[1]!Tabla3[#All],2,0),0)</f>
        <v>0</v>
      </c>
      <c r="F7" s="50"/>
      <c r="G7" s="51"/>
      <c r="H7" s="2" t="s">
        <v>11</v>
      </c>
      <c r="I7" s="5">
        <f>IFERROR(VLOOKUP($B$7,[1]!Tabla3[#All],4,0),0)</f>
        <v>0</v>
      </c>
    </row>
    <row r="8" spans="1:9" ht="34.5" customHeight="1" x14ac:dyDescent="0.3">
      <c r="A8" s="4" t="s">
        <v>9</v>
      </c>
      <c r="B8" s="47"/>
      <c r="C8" s="48"/>
      <c r="D8" s="3" t="s">
        <v>10</v>
      </c>
      <c r="E8" s="49">
        <f>IFERROR(VLOOKUP($B$8,[1]!Tabla3[#All],2,0),0)</f>
        <v>0</v>
      </c>
      <c r="F8" s="50"/>
      <c r="G8" s="51"/>
      <c r="H8" s="2" t="s">
        <v>11</v>
      </c>
      <c r="I8" s="5">
        <f>IFERROR(VLOOKUP($B$8,[1]!Tabla3[#All],4,0),0)</f>
        <v>0</v>
      </c>
    </row>
    <row r="9" spans="1:9" ht="34.5" customHeight="1" x14ac:dyDescent="0.3">
      <c r="A9" s="4" t="s">
        <v>12</v>
      </c>
      <c r="B9" s="47"/>
      <c r="C9" s="48"/>
      <c r="D9" s="3" t="s">
        <v>10</v>
      </c>
      <c r="E9" s="49">
        <f>IFERROR(VLOOKUP($B$9,[1]!Tabla3[#All],2,0),0)</f>
        <v>0</v>
      </c>
      <c r="F9" s="50"/>
      <c r="G9" s="51"/>
      <c r="H9" s="2" t="s">
        <v>11</v>
      </c>
      <c r="I9" s="5">
        <f>IFERROR(VLOOKUP($B$9,[1]!Tabla3[#All],4,0),0)</f>
        <v>0</v>
      </c>
    </row>
    <row r="10" spans="1:9" ht="34.5" customHeight="1" x14ac:dyDescent="0.3">
      <c r="A10" s="4" t="s">
        <v>12</v>
      </c>
      <c r="B10" s="47"/>
      <c r="C10" s="48"/>
      <c r="D10" s="3" t="s">
        <v>10</v>
      </c>
      <c r="E10" s="49">
        <f>IFERROR(VLOOKUP($B$10,[1]!Tabla3[#All],2,0),0)</f>
        <v>0</v>
      </c>
      <c r="F10" s="50"/>
      <c r="G10" s="51"/>
      <c r="H10" s="2" t="s">
        <v>11</v>
      </c>
      <c r="I10" s="5">
        <f>IFERROR(VLOOKUP($B$10,[1]!Tabla3[#All],4,0),0)</f>
        <v>0</v>
      </c>
    </row>
    <row r="11" spans="1:9" ht="34.5" customHeight="1" x14ac:dyDescent="0.3">
      <c r="A11" s="4" t="s">
        <v>13</v>
      </c>
      <c r="B11" s="47"/>
      <c r="C11" s="48"/>
      <c r="D11" s="3" t="s">
        <v>10</v>
      </c>
      <c r="E11" s="49">
        <f>IFERROR(VLOOKUP($B$11,[1]!Tabla3[#All],2,0),0)</f>
        <v>0</v>
      </c>
      <c r="F11" s="50"/>
      <c r="G11" s="51"/>
      <c r="H11" s="2" t="s">
        <v>11</v>
      </c>
      <c r="I11" s="5">
        <f>IFERROR(VLOOKUP($B$11,[1]!Tabla3[#All],4,0),0)</f>
        <v>0</v>
      </c>
    </row>
    <row r="12" spans="1:9" ht="32.25" customHeight="1" x14ac:dyDescent="0.3">
      <c r="A12" s="6" t="s">
        <v>14</v>
      </c>
      <c r="B12" s="52" t="s">
        <v>15</v>
      </c>
      <c r="C12" s="53"/>
      <c r="D12" s="53"/>
      <c r="E12" s="53"/>
      <c r="F12" s="53"/>
      <c r="G12" s="54"/>
      <c r="H12" s="2" t="s">
        <v>16</v>
      </c>
      <c r="I12" s="5"/>
    </row>
    <row r="13" spans="1:9" ht="177" customHeight="1" x14ac:dyDescent="0.3">
      <c r="A13" s="55" t="s">
        <v>17</v>
      </c>
      <c r="B13" s="55"/>
      <c r="C13" s="55"/>
      <c r="D13" s="55"/>
      <c r="E13" s="55"/>
      <c r="F13" s="55"/>
      <c r="G13" s="55"/>
      <c r="H13" s="55"/>
      <c r="I13" s="55"/>
    </row>
    <row r="14" spans="1:9" s="10" customFormat="1" ht="35.25" customHeight="1" x14ac:dyDescent="0.3">
      <c r="A14" s="7" t="s">
        <v>18</v>
      </c>
      <c r="B14" s="8" t="s">
        <v>19</v>
      </c>
      <c r="C14" s="8" t="s">
        <v>20</v>
      </c>
      <c r="D14" s="7" t="s">
        <v>21</v>
      </c>
      <c r="E14" s="7" t="s">
        <v>22</v>
      </c>
      <c r="F14" s="7" t="s">
        <v>23</v>
      </c>
      <c r="G14" s="8" t="s">
        <v>24</v>
      </c>
      <c r="H14" s="8" t="s">
        <v>25</v>
      </c>
      <c r="I14" s="9" t="s">
        <v>26</v>
      </c>
    </row>
    <row r="15" spans="1:9" s="10" customFormat="1" ht="35.25" customHeight="1" x14ac:dyDescent="0.3">
      <c r="A15" s="11"/>
      <c r="B15" s="12"/>
      <c r="C15" s="12"/>
      <c r="D15" s="11"/>
      <c r="E15" s="11"/>
      <c r="F15" s="11"/>
      <c r="G15" s="12"/>
      <c r="H15" s="12"/>
      <c r="I15" s="13"/>
    </row>
    <row r="16" spans="1:9" s="10" customFormat="1" ht="35.25" customHeight="1" x14ac:dyDescent="0.3">
      <c r="A16" s="11"/>
      <c r="B16" s="12"/>
      <c r="C16" s="12"/>
      <c r="D16" s="11"/>
      <c r="E16" s="11"/>
      <c r="F16" s="11"/>
      <c r="G16" s="12"/>
      <c r="H16" s="12"/>
      <c r="I16" s="13"/>
    </row>
    <row r="17" spans="1:9" s="10" customFormat="1" ht="35.25" customHeight="1" x14ac:dyDescent="0.3">
      <c r="A17" s="11"/>
      <c r="B17" s="12"/>
      <c r="C17" s="12"/>
      <c r="D17" s="11"/>
      <c r="E17" s="11"/>
      <c r="F17" s="11"/>
      <c r="G17" s="12"/>
      <c r="H17" s="12"/>
      <c r="I17" s="13"/>
    </row>
    <row r="18" spans="1:9" s="10" customFormat="1" ht="35.25" customHeight="1" x14ac:dyDescent="0.3">
      <c r="A18" s="11"/>
      <c r="B18" s="12"/>
      <c r="C18" s="12"/>
      <c r="D18" s="11"/>
      <c r="E18" s="11"/>
      <c r="F18" s="11"/>
      <c r="G18" s="12"/>
      <c r="H18" s="12"/>
      <c r="I18" s="13"/>
    </row>
    <row r="19" spans="1:9" s="10" customFormat="1" ht="35.25" customHeight="1" x14ac:dyDescent="0.3">
      <c r="A19" s="11"/>
      <c r="B19" s="12"/>
      <c r="C19" s="12"/>
      <c r="D19" s="11"/>
      <c r="E19" s="11"/>
      <c r="F19" s="11"/>
      <c r="G19" s="12"/>
      <c r="H19" s="12"/>
      <c r="I19" s="13"/>
    </row>
    <row r="20" spans="1:9" s="10" customFormat="1" ht="35.25" customHeight="1" x14ac:dyDescent="0.3">
      <c r="A20" s="11"/>
      <c r="B20" s="12"/>
      <c r="C20" s="12"/>
      <c r="D20" s="11"/>
      <c r="E20" s="11"/>
      <c r="F20" s="11"/>
      <c r="G20" s="12"/>
      <c r="H20" s="12"/>
      <c r="I20" s="13"/>
    </row>
    <row r="21" spans="1:9" s="10" customFormat="1" ht="35.25" customHeight="1" x14ac:dyDescent="0.3">
      <c r="A21" s="11"/>
      <c r="B21" s="12"/>
      <c r="C21" s="12"/>
      <c r="D21" s="11"/>
      <c r="E21" s="11"/>
      <c r="F21" s="11"/>
      <c r="G21" s="12"/>
      <c r="H21" s="12"/>
      <c r="I21" s="13"/>
    </row>
    <row r="22" spans="1:9" s="10" customFormat="1" ht="35.25" customHeight="1" x14ac:dyDescent="0.3">
      <c r="A22" s="11"/>
      <c r="B22" s="12"/>
      <c r="C22" s="12"/>
      <c r="D22" s="11"/>
      <c r="E22" s="11"/>
      <c r="F22" s="11"/>
      <c r="G22" s="12"/>
      <c r="H22" s="12"/>
      <c r="I22" s="13"/>
    </row>
    <row r="23" spans="1:9" s="10" customFormat="1" ht="35.25" customHeight="1" x14ac:dyDescent="0.3">
      <c r="A23" s="11"/>
      <c r="B23" s="12"/>
      <c r="C23" s="12"/>
      <c r="D23" s="11"/>
      <c r="E23" s="11"/>
      <c r="F23" s="11"/>
      <c r="G23" s="12"/>
      <c r="H23" s="12"/>
      <c r="I23" s="13"/>
    </row>
    <row r="24" spans="1:9" s="10" customFormat="1" ht="35.25" customHeight="1" x14ac:dyDescent="0.3">
      <c r="A24" s="11"/>
      <c r="B24" s="12"/>
      <c r="C24" s="12"/>
      <c r="D24" s="11"/>
      <c r="E24" s="11"/>
      <c r="F24" s="11"/>
      <c r="G24" s="12"/>
      <c r="H24" s="12"/>
      <c r="I24" s="13"/>
    </row>
    <row r="25" spans="1:9" s="10" customFormat="1" ht="35.25" customHeight="1" x14ac:dyDescent="0.3">
      <c r="A25" s="11"/>
      <c r="B25" s="12"/>
      <c r="C25" s="12"/>
      <c r="D25" s="11"/>
      <c r="E25" s="11"/>
      <c r="F25" s="11"/>
      <c r="G25" s="12"/>
      <c r="H25" s="12"/>
      <c r="I25" s="13"/>
    </row>
    <row r="26" spans="1:9" s="10" customFormat="1" ht="35.25" customHeight="1" x14ac:dyDescent="0.3">
      <c r="A26" s="11"/>
      <c r="B26" s="12"/>
      <c r="C26" s="12"/>
      <c r="D26" s="11"/>
      <c r="E26" s="11"/>
      <c r="F26" s="11"/>
      <c r="G26" s="12"/>
      <c r="H26" s="12"/>
      <c r="I26" s="13"/>
    </row>
    <row r="27" spans="1:9" s="10" customFormat="1" ht="35.25" customHeight="1" x14ac:dyDescent="0.3">
      <c r="A27" s="11"/>
      <c r="B27" s="12"/>
      <c r="C27" s="12"/>
      <c r="D27" s="11"/>
      <c r="E27" s="11"/>
      <c r="F27" s="11"/>
      <c r="G27" s="12"/>
      <c r="H27" s="12"/>
      <c r="I27" s="13"/>
    </row>
    <row r="28" spans="1:9" s="10" customFormat="1" ht="35.25" customHeight="1" x14ac:dyDescent="0.3">
      <c r="A28" s="11"/>
      <c r="B28" s="12"/>
      <c r="C28" s="12"/>
      <c r="D28" s="11"/>
      <c r="E28" s="11"/>
      <c r="F28" s="11"/>
      <c r="G28" s="12"/>
      <c r="H28" s="12"/>
      <c r="I28" s="13"/>
    </row>
    <row r="29" spans="1:9" s="10" customFormat="1" ht="35.25" customHeight="1" x14ac:dyDescent="0.3">
      <c r="A29" s="11"/>
      <c r="B29" s="12"/>
      <c r="C29" s="12"/>
      <c r="D29" s="11"/>
      <c r="E29" s="11"/>
      <c r="F29" s="11"/>
      <c r="G29" s="12"/>
      <c r="H29" s="12"/>
      <c r="I29" s="13"/>
    </row>
    <row r="30" spans="1:9" s="10" customFormat="1" ht="35.25" customHeight="1" x14ac:dyDescent="0.3">
      <c r="A30" s="11"/>
      <c r="B30" s="12"/>
      <c r="C30" s="12"/>
      <c r="D30" s="11"/>
      <c r="E30" s="11"/>
      <c r="F30" s="11"/>
      <c r="G30" s="12"/>
      <c r="H30" s="12"/>
      <c r="I30" s="13"/>
    </row>
    <row r="31" spans="1:9" s="10" customFormat="1" ht="35.25" customHeight="1" x14ac:dyDescent="0.3">
      <c r="A31" s="11"/>
      <c r="B31" s="12"/>
      <c r="C31" s="12"/>
      <c r="D31" s="11"/>
      <c r="E31" s="11"/>
      <c r="F31" s="11"/>
      <c r="G31" s="12"/>
      <c r="H31" s="12"/>
      <c r="I31" s="13"/>
    </row>
    <row r="32" spans="1:9" s="10" customFormat="1" ht="35.25" customHeight="1" x14ac:dyDescent="0.3">
      <c r="A32" s="11"/>
      <c r="B32" s="12"/>
      <c r="C32" s="12"/>
      <c r="D32" s="11"/>
      <c r="E32" s="11"/>
      <c r="F32" s="11"/>
      <c r="G32" s="12"/>
      <c r="H32" s="12"/>
      <c r="I32" s="13"/>
    </row>
    <row r="33" spans="1:9" s="10" customFormat="1" ht="35.25" customHeight="1" x14ac:dyDescent="0.3">
      <c r="A33" s="11"/>
      <c r="B33" s="12"/>
      <c r="C33" s="12"/>
      <c r="D33" s="11"/>
      <c r="E33" s="11"/>
      <c r="F33" s="11"/>
      <c r="G33" s="12"/>
      <c r="H33" s="12"/>
      <c r="I33" s="13"/>
    </row>
    <row r="34" spans="1:9" s="10" customFormat="1" ht="35.25" customHeight="1" x14ac:dyDescent="0.3">
      <c r="A34" s="42" t="s">
        <v>27</v>
      </c>
      <c r="B34" s="43"/>
      <c r="C34" s="43"/>
      <c r="D34" s="43"/>
      <c r="E34" s="43"/>
      <c r="F34" s="43"/>
      <c r="G34" s="43"/>
      <c r="H34" s="44"/>
      <c r="I34" s="14">
        <f>SUM($I$15:$I$33)</f>
        <v>0</v>
      </c>
    </row>
    <row r="35" spans="1:9" s="10" customFormat="1" ht="35.25" customHeight="1" x14ac:dyDescent="0.3">
      <c r="A35" s="45" t="s">
        <v>28</v>
      </c>
      <c r="B35" s="45"/>
      <c r="C35" s="45"/>
      <c r="D35" s="45"/>
      <c r="E35" s="45"/>
      <c r="F35" s="45"/>
      <c r="G35" s="45"/>
      <c r="H35" s="45"/>
      <c r="I35" s="45"/>
    </row>
    <row r="36" spans="1:9" s="10" customFormat="1" ht="15" customHeight="1" x14ac:dyDescent="0.3">
      <c r="A36" s="15"/>
      <c r="B36" s="15"/>
      <c r="C36" s="15"/>
      <c r="D36" s="16"/>
      <c r="E36" s="16"/>
      <c r="F36" s="16"/>
      <c r="G36" s="16"/>
      <c r="H36" s="16"/>
    </row>
    <row r="37" spans="1:9" s="10" customFormat="1" ht="15" customHeight="1" x14ac:dyDescent="0.3">
      <c r="A37" s="46" t="s">
        <v>29</v>
      </c>
      <c r="B37" s="46"/>
      <c r="C37" s="46"/>
      <c r="D37" s="46"/>
      <c r="E37" s="46"/>
      <c r="F37" s="46"/>
      <c r="G37" s="46"/>
      <c r="H37" s="46"/>
      <c r="I37" s="46"/>
    </row>
    <row r="38" spans="1:9" s="10" customFormat="1" ht="15" customHeight="1" x14ac:dyDescent="0.3">
      <c r="A38" s="17"/>
      <c r="B38" s="17"/>
      <c r="C38" s="17"/>
      <c r="D38" s="18"/>
      <c r="E38" s="18"/>
      <c r="F38" s="18"/>
      <c r="G38" s="18"/>
      <c r="H38" s="18"/>
    </row>
    <row r="39" spans="1:9" s="10" customFormat="1" ht="15" customHeight="1" x14ac:dyDescent="0.3">
      <c r="A39" s="35" t="s">
        <v>30</v>
      </c>
      <c r="B39" s="35"/>
      <c r="C39" s="35"/>
      <c r="D39" s="35"/>
      <c r="E39" s="35"/>
      <c r="F39" s="35"/>
      <c r="G39" s="35"/>
      <c r="H39" s="35"/>
      <c r="I39" s="35"/>
    </row>
    <row r="40" spans="1:9" s="10" customFormat="1" ht="15" customHeight="1" x14ac:dyDescent="0.3">
      <c r="A40" s="18"/>
      <c r="B40" s="18"/>
      <c r="C40" s="20"/>
      <c r="D40" s="21"/>
      <c r="E40" s="21"/>
      <c r="F40" s="21"/>
      <c r="G40" s="21"/>
      <c r="H40" s="22"/>
    </row>
    <row r="41" spans="1:9" s="10" customFormat="1" ht="15" customHeight="1" x14ac:dyDescent="0.3">
      <c r="A41" s="18"/>
      <c r="B41" s="18"/>
      <c r="C41" s="20"/>
      <c r="D41" s="21"/>
      <c r="E41" s="21"/>
      <c r="F41" s="21"/>
      <c r="G41" s="21"/>
      <c r="H41" s="22"/>
    </row>
    <row r="42" spans="1:9" s="10" customFormat="1" ht="15" customHeight="1" x14ac:dyDescent="0.3">
      <c r="A42" s="23"/>
      <c r="B42" s="23"/>
      <c r="C42" s="23"/>
      <c r="D42" s="24"/>
      <c r="E42" s="21"/>
      <c r="F42" s="21"/>
      <c r="G42" s="21"/>
      <c r="H42" s="21"/>
      <c r="I42" s="21"/>
    </row>
    <row r="43" spans="1:9" s="10" customFormat="1" ht="15" customHeight="1" x14ac:dyDescent="0.3">
      <c r="A43" s="23"/>
      <c r="B43" s="23"/>
      <c r="C43" s="23"/>
      <c r="D43" s="19"/>
      <c r="H43" s="23"/>
      <c r="I43" s="23"/>
    </row>
    <row r="44" spans="1:9" s="10" customFormat="1" ht="30.75" customHeight="1" x14ac:dyDescent="0.3">
      <c r="A44" s="23"/>
      <c r="B44" s="41">
        <f>IFERROR($E$7, " ")</f>
        <v>0</v>
      </c>
      <c r="C44" s="41"/>
      <c r="D44" s="25"/>
      <c r="E44" s="26"/>
      <c r="F44" s="26"/>
      <c r="G44" s="41">
        <f>IFERROR($E$8, " ")</f>
        <v>0</v>
      </c>
      <c r="H44" s="41"/>
      <c r="I44" s="23"/>
    </row>
    <row r="45" spans="1:9" s="10" customFormat="1" ht="15.75" customHeight="1" x14ac:dyDescent="0.3">
      <c r="A45" s="19"/>
      <c r="B45" s="34">
        <f>IFERROR(VLOOKUP($B$44,'[1]MATRIZ DE USUARIOS'!$B$1:$D$1392,2,0),0)</f>
        <v>0</v>
      </c>
      <c r="C45" s="35"/>
      <c r="D45" s="19"/>
      <c r="G45" s="34">
        <f>IFERROR(VLOOKUP($G$44,'[1]MATRIZ DE USUARIOS'!$B$1:$D$1392,2,0),0)</f>
        <v>0</v>
      </c>
      <c r="H45" s="35"/>
      <c r="I45" s="19"/>
    </row>
    <row r="46" spans="1:9" s="10" customFormat="1" ht="15" customHeight="1" x14ac:dyDescent="0.3">
      <c r="A46" s="19"/>
      <c r="B46" s="39">
        <f>IFERROR($I$7, " ")</f>
        <v>0</v>
      </c>
      <c r="C46" s="39"/>
      <c r="D46" s="27"/>
      <c r="E46" s="28"/>
      <c r="F46" s="28"/>
      <c r="G46" s="39">
        <f>IFERROR($I$8, " ")</f>
        <v>0</v>
      </c>
      <c r="H46" s="39"/>
      <c r="I46" s="19"/>
    </row>
    <row r="47" spans="1:9" s="10" customFormat="1" ht="15" customHeight="1" x14ac:dyDescent="0.3">
      <c r="A47" s="18"/>
      <c r="B47" s="18"/>
      <c r="C47" s="18"/>
    </row>
    <row r="48" spans="1:9" s="10" customFormat="1" ht="15" customHeight="1" x14ac:dyDescent="0.3">
      <c r="A48" s="18"/>
      <c r="B48" s="18"/>
      <c r="C48" s="18"/>
    </row>
    <row r="49" spans="1:9" s="10" customFormat="1" ht="15" customHeight="1" x14ac:dyDescent="0.3">
      <c r="A49" s="40" t="s">
        <v>31</v>
      </c>
      <c r="B49" s="40"/>
      <c r="C49" s="40"/>
      <c r="D49" s="40"/>
      <c r="E49" s="40"/>
      <c r="F49" s="40"/>
      <c r="G49" s="40"/>
      <c r="H49" s="40"/>
      <c r="I49" s="40"/>
    </row>
    <row r="50" spans="1:9" s="10" customFormat="1" ht="15" customHeight="1" x14ac:dyDescent="0.3">
      <c r="A50" s="18"/>
      <c r="B50" s="18"/>
      <c r="C50" s="18"/>
      <c r="H50" s="21"/>
    </row>
    <row r="51" spans="1:9" s="10" customFormat="1" ht="15" customHeight="1" x14ac:dyDescent="0.3">
      <c r="A51" s="21"/>
      <c r="B51" s="21"/>
      <c r="C51" s="21"/>
      <c r="D51" s="29"/>
      <c r="E51" s="21"/>
      <c r="F51" s="21"/>
      <c r="G51" s="21"/>
    </row>
    <row r="52" spans="1:9" s="10" customFormat="1" ht="15" customHeight="1" x14ac:dyDescent="0.3">
      <c r="A52" s="21"/>
      <c r="B52" s="21"/>
      <c r="C52" s="21"/>
      <c r="D52" s="29"/>
      <c r="E52" s="21"/>
      <c r="F52" s="21"/>
      <c r="G52" s="21"/>
    </row>
    <row r="53" spans="1:9" s="10" customFormat="1" ht="15" customHeight="1" x14ac:dyDescent="0.3">
      <c r="A53" s="21"/>
      <c r="B53" s="21"/>
      <c r="C53" s="21"/>
      <c r="D53" s="29"/>
    </row>
    <row r="54" spans="1:9" s="10" customFormat="1" ht="28.5" customHeight="1" x14ac:dyDescent="0.3">
      <c r="A54" s="18"/>
      <c r="B54" s="41">
        <f>IFERROR($E$9, " ")</f>
        <v>0</v>
      </c>
      <c r="C54" s="41"/>
      <c r="D54" s="26"/>
      <c r="E54" s="26"/>
      <c r="F54" s="26"/>
      <c r="G54" s="41">
        <f>IFERROR($E$10, " ")</f>
        <v>0</v>
      </c>
      <c r="H54" s="41"/>
    </row>
    <row r="55" spans="1:9" s="10" customFormat="1" ht="31.5" customHeight="1" x14ac:dyDescent="0.3">
      <c r="A55" s="18"/>
      <c r="B55" s="37">
        <f>IFERROR(VLOOKUP($B$54,'[1]MATRIZ DE USUARIOS'!$B$1:$D$1392,2,0),0)</f>
        <v>0</v>
      </c>
      <c r="C55" s="38"/>
      <c r="D55" s="30"/>
      <c r="E55" s="30"/>
      <c r="F55" s="30"/>
      <c r="G55" s="34">
        <f>IFERROR(VLOOKUP($G$54,'[1]MATRIZ DE USUARIOS'!$B$1:$D$1392,2,0),0)</f>
        <v>0</v>
      </c>
      <c r="H55" s="35"/>
    </row>
    <row r="56" spans="1:9" s="10" customFormat="1" ht="15" customHeight="1" x14ac:dyDescent="0.3">
      <c r="A56" s="18"/>
      <c r="B56" s="39">
        <f>IFERROR($I$9, " ")</f>
        <v>0</v>
      </c>
      <c r="C56" s="39"/>
      <c r="D56" s="30"/>
      <c r="E56" s="30"/>
      <c r="F56" s="30"/>
      <c r="G56" s="39">
        <f>IFERROR($I$10, " ")</f>
        <v>0</v>
      </c>
      <c r="H56" s="39"/>
    </row>
    <row r="57" spans="1:9" s="10" customFormat="1" ht="15" customHeight="1" x14ac:dyDescent="0.3">
      <c r="A57" s="18"/>
      <c r="B57" s="18"/>
      <c r="C57" s="19"/>
      <c r="D57" s="30"/>
      <c r="E57" s="30"/>
      <c r="F57" s="30"/>
      <c r="G57" s="19"/>
      <c r="H57" s="19"/>
    </row>
    <row r="58" spans="1:9" s="10" customFormat="1" ht="15" customHeight="1" x14ac:dyDescent="0.3">
      <c r="A58" s="18"/>
      <c r="B58" s="18"/>
      <c r="C58" s="18"/>
      <c r="D58" s="24"/>
      <c r="E58" s="24"/>
      <c r="F58" s="24"/>
      <c r="G58" s="24"/>
      <c r="H58" s="30"/>
    </row>
    <row r="59" spans="1:9" s="10" customFormat="1" ht="15" customHeight="1" x14ac:dyDescent="0.3">
      <c r="A59" s="40" t="s">
        <v>32</v>
      </c>
      <c r="B59" s="40"/>
      <c r="C59" s="40"/>
      <c r="D59" s="40"/>
      <c r="E59" s="40"/>
      <c r="F59" s="40"/>
      <c r="G59" s="40"/>
      <c r="H59" s="40"/>
      <c r="I59" s="40"/>
    </row>
    <row r="60" spans="1:9" s="10" customFormat="1" ht="15" customHeight="1" x14ac:dyDescent="0.3">
      <c r="A60" s="18"/>
      <c r="B60" s="18"/>
      <c r="C60" s="18"/>
      <c r="D60" s="30"/>
      <c r="E60" s="30"/>
      <c r="F60" s="30"/>
      <c r="G60" s="30"/>
    </row>
    <row r="61" spans="1:9" s="10" customFormat="1" ht="15" customHeight="1" x14ac:dyDescent="0.3">
      <c r="A61" s="18"/>
      <c r="B61" s="18"/>
      <c r="C61" s="18"/>
      <c r="D61" s="31"/>
      <c r="E61" s="31"/>
      <c r="F61" s="31"/>
      <c r="G61" s="31"/>
      <c r="H61" s="31"/>
    </row>
    <row r="62" spans="1:9" s="10" customFormat="1" ht="15" customHeight="1" x14ac:dyDescent="0.3">
      <c r="A62" s="18"/>
      <c r="B62" s="18"/>
      <c r="C62" s="18"/>
      <c r="D62" s="31"/>
      <c r="E62" s="31"/>
      <c r="F62" s="31"/>
      <c r="G62" s="31"/>
      <c r="H62" s="31"/>
    </row>
    <row r="63" spans="1:9" x14ac:dyDescent="0.3">
      <c r="A63" s="18"/>
      <c r="B63" s="18"/>
      <c r="C63" s="18"/>
      <c r="D63" s="31"/>
      <c r="E63" s="31"/>
      <c r="F63" s="31"/>
      <c r="G63" s="31"/>
      <c r="H63" s="31"/>
    </row>
    <row r="64" spans="1:9" ht="31.5" customHeight="1" x14ac:dyDescent="0.3">
      <c r="A64" s="18"/>
      <c r="B64" s="38" t="s">
        <v>33</v>
      </c>
      <c r="C64" s="38"/>
      <c r="D64" s="18"/>
      <c r="E64" s="18"/>
      <c r="F64" s="18"/>
      <c r="G64" s="38" t="s">
        <v>34</v>
      </c>
      <c r="H64" s="38"/>
    </row>
    <row r="65" spans="1:9" ht="31.5" customHeight="1" x14ac:dyDescent="0.3">
      <c r="A65" s="18"/>
      <c r="B65" s="34" t="str">
        <f>VLOOKUP($B$64,[1]LISTAS!G3:H12,2,0)</f>
        <v>AUXILIAR ADMINISTRATIVO</v>
      </c>
      <c r="C65" s="35"/>
      <c r="D65" s="32"/>
      <c r="E65" s="32"/>
      <c r="F65" s="32"/>
      <c r="G65" s="34" t="str">
        <f>VLOOKUP($G$64,[1]LISTAS!G3:H12,2,0)</f>
        <v>ANALISTA DE ACTIVOS FIJOS 2</v>
      </c>
      <c r="H65" s="35"/>
    </row>
    <row r="66" spans="1:9" x14ac:dyDescent="0.3">
      <c r="A66" s="18"/>
      <c r="B66" s="18"/>
      <c r="C66" s="18"/>
      <c r="D66" s="32"/>
      <c r="E66" s="32"/>
      <c r="F66" s="32"/>
      <c r="G66" s="32"/>
      <c r="H66" s="32"/>
    </row>
    <row r="67" spans="1:9" x14ac:dyDescent="0.3">
      <c r="A67" s="18"/>
      <c r="B67" s="18"/>
      <c r="C67" s="18"/>
      <c r="D67" s="32"/>
      <c r="E67" s="32"/>
      <c r="F67" s="32"/>
      <c r="G67" s="32"/>
      <c r="H67" s="32"/>
    </row>
    <row r="69" spans="1:9" x14ac:dyDescent="0.3">
      <c r="D69" s="36"/>
      <c r="E69" s="36"/>
    </row>
    <row r="70" spans="1:9" s="33" customFormat="1" x14ac:dyDescent="0.3">
      <c r="A70" s="15"/>
      <c r="B70" s="15"/>
      <c r="C70" s="15"/>
      <c r="D70" s="36"/>
      <c r="E70" s="36"/>
      <c r="F70" s="15"/>
      <c r="G70" s="15"/>
      <c r="H70" s="15"/>
    </row>
    <row r="71" spans="1:9" x14ac:dyDescent="0.3">
      <c r="D71" s="36"/>
      <c r="E71" s="36"/>
    </row>
    <row r="75" spans="1:9" ht="13.5" customHeight="1" x14ac:dyDescent="0.3"/>
    <row r="76" spans="1:9" ht="15.75" customHeight="1" x14ac:dyDescent="0.3"/>
    <row r="77" spans="1:9" s="33" customFormat="1" ht="15.75" customHeight="1" x14ac:dyDescent="0.3">
      <c r="A77" s="15"/>
      <c r="B77" s="15"/>
      <c r="C77" s="15"/>
      <c r="D77" s="15"/>
      <c r="E77" s="15"/>
      <c r="F77" s="15"/>
      <c r="G77" s="15"/>
      <c r="H77" s="15"/>
    </row>
    <row r="78" spans="1:9" s="33" customFormat="1" x14ac:dyDescent="0.3">
      <c r="A78" s="15"/>
      <c r="B78" s="15"/>
      <c r="C78" s="15"/>
      <c r="D78" s="15"/>
      <c r="E78" s="15"/>
      <c r="F78" s="15"/>
      <c r="G78" s="15"/>
      <c r="H78" s="15"/>
    </row>
    <row r="79" spans="1:9" ht="15" customHeight="1" x14ac:dyDescent="0.3"/>
    <row r="80" spans="1:9" s="15" customFormat="1" ht="15" customHeight="1" x14ac:dyDescent="0.3">
      <c r="I80" s="1"/>
    </row>
  </sheetData>
  <sheetProtection formatCells="0" formatColumns="0" formatRows="0" insertRows="0" deleteColumns="0" deleteRows="0" sort="0" autoFilter="0"/>
  <protectedRanges>
    <protectedRange sqref="D14:D34" name="BIEN"/>
    <protectedRange sqref="A4:I4" name="ACTA N"/>
    <protectedRange sqref="C5:C11" name="CABECERA 1"/>
    <protectedRange sqref="I5" name="FECHA"/>
    <protectedRange sqref="C12" name="MOTIVACION"/>
    <protectedRange sqref="I12" name="ACTA ORIGEN"/>
    <protectedRange sqref="G44:H46 G54:H56 B44:B46 B54:B56 B64:B65 G64:G65" name="DATOS"/>
  </protectedRanges>
  <mergeCells count="47">
    <mergeCell ref="A1:I1"/>
    <mergeCell ref="A2:I2"/>
    <mergeCell ref="A3:I3"/>
    <mergeCell ref="A4:I4"/>
    <mergeCell ref="B5:C5"/>
    <mergeCell ref="E5:G5"/>
    <mergeCell ref="H5:H6"/>
    <mergeCell ref="I5:I6"/>
    <mergeCell ref="B6:C6"/>
    <mergeCell ref="E6:G6"/>
    <mergeCell ref="A13:I13"/>
    <mergeCell ref="B7:C7"/>
    <mergeCell ref="E7:G7"/>
    <mergeCell ref="B8:C8"/>
    <mergeCell ref="E8:G8"/>
    <mergeCell ref="B9:C9"/>
    <mergeCell ref="E9:G9"/>
    <mergeCell ref="B10:C10"/>
    <mergeCell ref="E10:G10"/>
    <mergeCell ref="B11:C11"/>
    <mergeCell ref="E11:G11"/>
    <mergeCell ref="B12:G12"/>
    <mergeCell ref="A34:H34"/>
    <mergeCell ref="A35:I35"/>
    <mergeCell ref="A37:I37"/>
    <mergeCell ref="A39:I39"/>
    <mergeCell ref="B44:C44"/>
    <mergeCell ref="G44:H44"/>
    <mergeCell ref="B64:C64"/>
    <mergeCell ref="G64:H64"/>
    <mergeCell ref="B45:C45"/>
    <mergeCell ref="G45:H45"/>
    <mergeCell ref="B46:C46"/>
    <mergeCell ref="G46:H46"/>
    <mergeCell ref="A49:I49"/>
    <mergeCell ref="B54:C54"/>
    <mergeCell ref="G54:H54"/>
    <mergeCell ref="B55:C55"/>
    <mergeCell ref="G55:H55"/>
    <mergeCell ref="B56:C56"/>
    <mergeCell ref="G56:H56"/>
    <mergeCell ref="A59:I59"/>
    <mergeCell ref="B65:C65"/>
    <mergeCell ref="G65:H65"/>
    <mergeCell ref="D69:E69"/>
    <mergeCell ref="D70:E70"/>
    <mergeCell ref="D71:E71"/>
  </mergeCells>
  <pageMargins left="0.7" right="0.7" top="0.75" bottom="0.75" header="0.3" footer="0.3"/>
  <pageSetup paperSize="9" scale="46" orientation="portrait" horizontalDpi="4294967294" verticalDpi="4294967294"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'L:\ACTIVOS FIJOS Y BODEGA 2026\ACTAS\BIENES\[ACTAS 2026 ACTIVOS FIJOS DEFINITIVAS .xlsx]LISTAS'!#REF!</xm:f>
          </x14:formula1>
          <xm:sqref>B5:C6 B64:C64 G64:H64</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FORMATO</vt:lpstr>
      <vt:lpstr>FORMATO!Área_de_impresión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LISS H.ESPECILIDADES</dc:creator>
  <cp:lastModifiedBy>Yuseydi Pamela Avila Camisan</cp:lastModifiedBy>
  <dcterms:created xsi:type="dcterms:W3CDTF">2026-07-03T15:39:22Z</dcterms:created>
  <dcterms:modified xsi:type="dcterms:W3CDTF">2026-07-04T00:41:52Z</dcterms:modified>
</cp:coreProperties>
</file>